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11706526-EC37-442E-9D31-022503B49CA9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2" i="5" l="1"/>
  <c r="H12" i="5"/>
  <c r="L12" i="5"/>
  <c r="K12" i="5"/>
  <c r="M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Q18" i="4" a="1"/>
  <c r="CQ18" i="4" s="1"/>
  <c r="CR18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DG18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18" i="2" l="1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<sst xmlns="http://schemas.openxmlformats.org/spreadsheetml/2006/main" count="454" uniqueCount="136">
  <si>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</si>
  <si>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</si>
  <si>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</si>
  <si>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</si>
  <si>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</si>
  <si>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</si>
  <si>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</si>
  <si>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</si>
  <si>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</si>
  <si>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</si>
  <si>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</si>
  <si>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</si>
  <si>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</si>
  <si>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</si>
  <si>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</si>
  <si>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</si>
  <si>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</si>
  <si>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</si>
  <si>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</si>
  <si>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</si>
  <si>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</si>
  <si>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</si>
  <si>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</si>
  <si>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</si>
  <si>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</si>
  <si>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</si>
  <si>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</si>
  <si>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</si>
  <si>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</si>
  <si>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</si>
  <si>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</si>
  <si>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</si>
  <si>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</si>
  <si>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</si>
  <si>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</si>
  <si>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</si>
  <si>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</si>
  <si>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</si>
  <si>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</si>
  <si>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</si>
  <si>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</si>
  <si>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</si>
  <si>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</si>
  <si>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</si>
  <si>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</si>
  <si>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</si>
  <si>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</si>
  <si>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</si>
  <si>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</si>
  <si>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</si>
  <si>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</si>
  <si>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</si>
  <si>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</si>
  <si>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</si>
  <si>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</si>
  <si>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</si>
  <si>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</si>
  <si>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</si>
  <si>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</si>
  <si>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</si>
  <si>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</si>
  <si>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</si>
  <si>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</si>
  <si>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</si>
  <si>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</si>
  <si>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</si>
  <si>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</si>
  <si>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</si>
  <si>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</si>
  <si>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</si>
  <si>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</si>
  <si>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</si>
  <si>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</si>
  <si>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</si>
  <si>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</si>
  <si>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</si>
  <si>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</si>
  <si>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</si>
  <si>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</si>
  <si>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</si>
  <si>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</si>
  <si>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</si>
  <si>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</si>
  <si>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</si>
  <si>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</si>
  <si>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</si>
  <si>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</si>
  <si>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</si>
  <si>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</si>
  <si>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</si>
  <si>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</si>
  <si>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</si>
  <si>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</si>
  <si>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</si>
  <si>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</si>
  <si>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</si>
  <si>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</si>
  <si>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</si>
  <si>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</si>
  <si>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</si>
  <si>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</si>
  <si>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</si>
  <si>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</si>
  <si>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</si>
  <si>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</si>
  <si>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</si>
  <si>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</si>
  <si>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</si>
  <si>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</si>
  <si>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</si>
  <si>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</si>
  <si>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</si>
  <si>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</si>
  <si>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</si>
  <si>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</si>
  <si>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</si>
  <si>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</si>
  <si>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</si>
  <si>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</si>
  <si>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</si>
  <si>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</si>
  <si>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</si>
  <si>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</si>
  <si>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</si>
  <si>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</si>
  <si>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</si>
  <si>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</si>
  <si>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</si>
  <si>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</si>
  <si>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</si>
  <si>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</si>
  <si>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</si>
  <si>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</si>
  <si>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</si>
  <si>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</si>
  <si>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MO(40%)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</si>
</sst>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3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43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7" zoomScale="79" workbookViewId="0">
      <selection activeCell="CP18" sqref="CP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8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E3" s="229" t="s">
        <v>1</v>
      </c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E4" s="230" t="s">
        <v>2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1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57" t="s">
        <v>3</v>
      </c>
      <c r="F7" s="224"/>
      <c r="G7" s="4" t="s">
        <v>4</v>
      </c>
      <c r="H7" s="5"/>
      <c r="I7" s="3" t="s">
        <v>5</v>
      </c>
      <c r="J7" s="5"/>
      <c r="K7" s="255" t="s">
        <v>6</v>
      </c>
      <c r="L7" s="256"/>
      <c r="M7" s="256"/>
      <c r="N7" s="256"/>
      <c r="O7" s="256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6"/>
      <c r="AC7" s="225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  <c r="BP7" s="22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7" t="s">
        <v>7</v>
      </c>
      <c r="F8" s="224"/>
      <c r="G8" s="7" t="s">
        <v>8</v>
      </c>
      <c r="H8" s="5"/>
      <c r="I8" s="3" t="s">
        <v>9</v>
      </c>
      <c r="J8" s="5"/>
      <c r="K8" s="255" t="s">
        <v>10</v>
      </c>
      <c r="L8" s="256"/>
      <c r="M8" s="256"/>
      <c r="N8" s="256"/>
      <c r="O8" s="256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6"/>
      <c r="AC8" s="225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7" t="s">
        <v>11</v>
      </c>
      <c r="F9" s="224"/>
      <c r="G9" s="7" t="s">
        <v>12</v>
      </c>
      <c r="H9" s="5"/>
      <c r="I9" s="3" t="s">
        <v>13</v>
      </c>
      <c r="J9" s="5"/>
      <c r="K9" s="255" t="s">
        <v>14</v>
      </c>
      <c r="L9" s="256"/>
      <c r="M9" s="256"/>
      <c r="N9" s="256"/>
      <c r="O9" s="256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6"/>
      <c r="AC9" s="225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  <c r="BM9" s="224"/>
      <c r="BN9" s="224"/>
      <c r="BO9" s="224"/>
      <c r="BP9" s="22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7" t="s">
        <v>15</v>
      </c>
      <c r="F10" s="224"/>
      <c r="G10" s="7" t="s">
        <v>16</v>
      </c>
      <c r="H10" s="5"/>
      <c r="I10" s="3" t="s">
        <v>17</v>
      </c>
      <c r="J10" s="5"/>
      <c r="K10" s="258">
        <v>3</v>
      </c>
      <c r="L10" s="256"/>
      <c r="M10" s="256"/>
      <c r="N10" s="256"/>
      <c r="O10" s="256"/>
      <c r="P10" s="5"/>
      <c r="Q10" s="2"/>
      <c r="R10" s="6"/>
      <c r="S10" s="227" t="s">
        <v>18</v>
      </c>
      <c r="T10" s="224"/>
      <c r="U10" s="224"/>
      <c r="V10" s="258" t="s">
        <v>19</v>
      </c>
      <c r="W10" s="256"/>
      <c r="X10" s="256"/>
      <c r="Y10" s="256"/>
      <c r="Z10" s="256"/>
      <c r="AA10" s="2"/>
      <c r="AB10" s="6"/>
      <c r="AC10" s="225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7" t="s">
        <v>20</v>
      </c>
      <c r="F11" s="224"/>
      <c r="G11" s="7" t="s">
        <v>21</v>
      </c>
      <c r="H11" s="5"/>
      <c r="I11" s="3" t="s">
        <v>22</v>
      </c>
      <c r="J11" s="5"/>
      <c r="K11" s="255" t="s">
        <v>23</v>
      </c>
      <c r="L11" s="256"/>
      <c r="M11" s="256"/>
      <c r="N11" s="256"/>
      <c r="O11" s="256"/>
      <c r="P11" s="5"/>
      <c r="Q11" s="2"/>
      <c r="R11" s="6"/>
      <c r="S11" s="227" t="s">
        <v>24</v>
      </c>
      <c r="T11" s="224"/>
      <c r="U11" s="224"/>
      <c r="V11" s="262" t="s">
        <v>25</v>
      </c>
      <c r="W11" s="263"/>
      <c r="X11" s="263"/>
      <c r="Y11" s="263"/>
      <c r="Z11" s="263"/>
      <c r="AA11" s="2"/>
      <c r="AB11" s="227"/>
      <c r="AC11" s="224"/>
      <c r="AD11" s="22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3"/>
      <c r="BR11" s="22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22"/>
      <c r="G12" s="11" t="s">
        <v>27</v>
      </c>
      <c r="H12" s="5"/>
      <c r="I12" s="10" t="s">
        <v>28</v>
      </c>
      <c r="J12" s="11"/>
      <c r="K12" s="260" t="s">
        <v>29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v>0.5</v>
      </c>
      <c r="X12" s="221"/>
      <c r="Y12" s="222"/>
      <c r="Z12" s="11"/>
      <c r="AA12" s="16"/>
      <c r="AB12" s="264"/>
      <c r="AC12" s="222"/>
      <c r="AD12" s="22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1"/>
      <c r="BR12" s="22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X4" zoomScale="72" workbookViewId="0">
      <selection activeCell="CY19" sqref="CY19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72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9"/>
      <c r="BV16" s="251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9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7" workbookViewId="0">
      <selection activeCell="I18" sqref="I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</row>
    <row r="12" spans="5:102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50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E8:F8"/>
    <mergeCell ref="BV8:CO8"/>
    <mergeCell ref="S10:U10"/>
    <mergeCell ref="V10:Z10"/>
    <mergeCell ref="BL10:BP10"/>
    <mergeCell ref="BV10:CO10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A7" zoomScale="71" workbookViewId="0">
      <selection activeCell="DK16" sqref="DK1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92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9"/>
      <c r="BV16" s="251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9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A9" zoomScale="72" workbookViewId="0">
      <selection activeCell="V11" sqref="V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8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33" ht="16.5">
      <c r="B3" s="229" t="s">
        <v>1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33">
      <c r="B4" s="230" t="s">
        <v>2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63"/>
      <c r="H7" s="26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63"/>
      <c r="H8" s="26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6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63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63"/>
      <c r="H11" s="263"/>
      <c r="I11" s="263"/>
      <c r="J11" s="266"/>
      <c r="K11" s="278" t="s">
        <v>100</v>
      </c>
      <c r="L11" s="263"/>
      <c r="M11" s="263"/>
      <c r="N11" s="266"/>
      <c r="O11" s="279" t="s">
        <v>101</v>
      </c>
      <c r="P11" s="224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63"/>
      <c r="E12" s="266"/>
      <c r="F12" s="278" t="str">
        <f>_xlfn.CONCAT(_xlfn.CONCAT("CS (",'Finalterm OVPAA-F-INS-055B CLAS'!FG12*100),"%)")</f>
        <v>CS (0%)</v>
      </c>
      <c r="G12" s="266"/>
      <c r="H12" s="192" t="str">
        <f>_xlfn.CONCAT(_xlfn.CONCAT("LAB (",'Finalterm OVPAA-F-INS-055B CLAS'!DF15*100),"%)")</f>
        <v>LAB (30%)</v>
      </c>
      <c r="I12" s="282" t="s">
        <v>135</v>
      </c>
      <c r="J12" s="191" t="s">
        <v>105</v>
      </c>
      <c r="K12" s="191" t="str">
        <f>_xlfn.CONCAT(_xlfn.CONCAT("CS (",'Finalterm OVPAA-F-INS-055B CLAS'!DE15*100),"%)")</f>
        <v>CS (30%)</v>
      </c>
      <c r="L12" s="282" t="str">
        <f>_xlfn.CONCAT(_xlfn.CONCAT("LAB (",'Finalterm OVPAA-F-INS-055B CLAS'!DE15*100),"%)")</f>
        <v>LAB (30%)</v>
      </c>
      <c r="M12" s="282" t="str">
        <f>_xlfn.CONCAT(_xlfn.CONCAT("MO (",'Finalterm OVPAA-F-INS-055B CLAS'!DE15*100),"%)")</f>
        <v>MO (30%)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63"/>
      <c r="E13" s="266"/>
      <c r="F13" s="267">
        <f>'MidTerm OVPAA-F-INS-055B CLASS'!BV18</f>
        <v>5</v>
      </c>
      <c r="G13" s="266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63"/>
      <c r="E14" s="266"/>
      <c r="F14" s="267">
        <f>'MidTerm OVPAA-F-INS-055B CLASS'!BV19</f>
        <v>2.75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63"/>
      <c r="E15" s="266"/>
      <c r="F15" s="267">
        <f>'MidTerm OVPAA-F-INS-055B CLASS'!BV20</f>
        <v>2.75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3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2.75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5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4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5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0" t="s">
        <v>111</v>
      </c>
      <c r="B114" s="224"/>
      <c r="C114" s="181"/>
      <c r="D114" s="181" t="s">
        <v>112</v>
      </c>
      <c r="E114" s="181"/>
      <c r="F114" s="270"/>
      <c r="G114" s="224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1" t="str">
        <f>'Midterm OVPAA-F-INS-055A RAW SC'!G12</f>
        <v>Czarissa Louise A. Navidad</v>
      </c>
      <c r="B117" s="224"/>
      <c r="C117" s="224"/>
      <c r="D117" s="271" t="str">
        <f>'Midterm OVPAA-F-INS-055A RAW SC'!K11</f>
        <v>Dr. Sales G. Aribe, Jr.</v>
      </c>
      <c r="E117" s="224"/>
      <c r="F117" s="224"/>
      <c r="G117" s="224"/>
      <c r="H117" s="200"/>
      <c r="I117" s="271" t="str">
        <f>'Midterm OVPAA-F-INS-055A RAW SC'!K12</f>
        <v>Dr. Marilou O. Espina</v>
      </c>
      <c r="J117" s="224"/>
      <c r="K117" s="224"/>
      <c r="L117" s="224"/>
      <c r="M117" s="224"/>
      <c r="N117" s="224"/>
      <c r="O117" s="224"/>
      <c r="P117" s="224"/>
      <c r="Q117" s="224"/>
      <c r="R117" s="224"/>
    </row>
    <row r="118" spans="1:33" ht="35.25" customHeight="1">
      <c r="A118" s="272" t="s">
        <v>114</v>
      </c>
      <c r="B118" s="224"/>
      <c r="C118" s="224"/>
      <c r="D118" s="272" t="str">
        <f>CONCATENATE("Department Head, ",'Midterm OVPAA-F-INS-055A RAW SC'!V10)</f>
        <v>Department Head, Information Technology</v>
      </c>
      <c r="E118" s="224"/>
      <c r="F118" s="224"/>
      <c r="G118" s="224"/>
      <c r="H118" s="201"/>
      <c r="I118" s="272" t="str">
        <f>CONCATENATE("Dean, ",'Midterm OVPAA-F-INS-055A RAW SC'!V11)</f>
        <v>Dean, College of Technologies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3" t="s">
        <v>115</v>
      </c>
      <c r="B119" s="224"/>
      <c r="C119" s="224"/>
      <c r="D119" s="273" t="s">
        <v>115</v>
      </c>
      <c r="E119" s="224"/>
      <c r="F119" s="224"/>
      <c r="G119" s="203"/>
      <c r="H119" s="203"/>
      <c r="I119" s="273" t="s">
        <v>115</v>
      </c>
      <c r="J119" s="224"/>
      <c r="K119" s="224"/>
      <c r="L119" s="224"/>
      <c r="M119" s="224"/>
      <c r="N119" s="224"/>
      <c r="O119" s="224"/>
      <c r="P119" s="224"/>
      <c r="Q119" s="224"/>
      <c r="R119" s="224"/>
    </row>
    <row r="120" spans="1:33" ht="15.75" customHeight="1"/>
    <row r="121" spans="1:33" ht="15.75" customHeight="1">
      <c r="A121" s="268"/>
      <c r="B121" s="224"/>
      <c r="C121" s="224"/>
      <c r="D121" s="269"/>
      <c r="E121" s="224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4"/>
      <c r="D1" s="224"/>
      <c r="F1" s="281" t="s">
        <v>128</v>
      </c>
      <c r="G1" s="224"/>
      <c r="H1" s="224"/>
    </row>
    <row r="2" spans="2:8" ht="15" customHeight="1">
      <c r="B2" s="224"/>
      <c r="C2" s="224"/>
      <c r="D2" s="224"/>
      <c r="F2" s="224"/>
      <c r="G2" s="224"/>
      <c r="H2" s="224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