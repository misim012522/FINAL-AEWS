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ownloads\"/>
    </mc:Choice>
  </mc:AlternateContent>
  <xr:revisionPtr revIDLastSave="0" documentId="11_6B4C18EBAC83A6787E9E7CBACFC0F50BC1E4F1F0" xr6:coauthVersionLast="47" xr6:coauthVersionMax="47" xr10:uidLastSave="{00000000-0000-0000-0000-000000000000}"/>
  <bookViews>
    <workbookView xWindow="-120" yWindow="-120" windowWidth="24240" windowHeight="13020" firstSheet="2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H35" i="7" l="1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C109" i="5"/>
  <c r="R109" i="5" s="1"/>
  <c r="B109" i="5"/>
  <c r="C108" i="5"/>
  <c r="R108" i="5" s="1"/>
  <c r="B108" i="5"/>
  <c r="R107" i="5"/>
  <c r="C107" i="5"/>
  <c r="B107" i="5"/>
  <c r="R106" i="5"/>
  <c r="C106" i="5"/>
  <c r="B106" i="5"/>
  <c r="C105" i="5"/>
  <c r="R105" i="5" s="1"/>
  <c r="B105" i="5"/>
  <c r="C104" i="5"/>
  <c r="R104" i="5" s="1"/>
  <c r="B104" i="5"/>
  <c r="R103" i="5"/>
  <c r="C103" i="5"/>
  <c r="B103" i="5"/>
  <c r="R102" i="5"/>
  <c r="C102" i="5"/>
  <c r="B102" i="5"/>
  <c r="C101" i="5"/>
  <c r="R101" i="5" s="1"/>
  <c r="B101" i="5"/>
  <c r="C100" i="5"/>
  <c r="R100" i="5" s="1"/>
  <c r="B100" i="5"/>
  <c r="R99" i="5"/>
  <c r="C99" i="5"/>
  <c r="B99" i="5"/>
  <c r="R98" i="5"/>
  <c r="C98" i="5"/>
  <c r="B98" i="5"/>
  <c r="C97" i="5"/>
  <c r="R97" i="5" s="1"/>
  <c r="B97" i="5"/>
  <c r="C96" i="5"/>
  <c r="R96" i="5" s="1"/>
  <c r="B96" i="5"/>
  <c r="R95" i="5"/>
  <c r="C95" i="5"/>
  <c r="B95" i="5"/>
  <c r="R94" i="5"/>
  <c r="C94" i="5"/>
  <c r="B94" i="5"/>
  <c r="C93" i="5"/>
  <c r="R93" i="5" s="1"/>
  <c r="B93" i="5"/>
  <c r="C92" i="5"/>
  <c r="R92" i="5" s="1"/>
  <c r="B92" i="5"/>
  <c r="R91" i="5"/>
  <c r="C91" i="5"/>
  <c r="B91" i="5"/>
  <c r="R90" i="5"/>
  <c r="C90" i="5"/>
  <c r="B90" i="5"/>
  <c r="C89" i="5"/>
  <c r="R89" i="5" s="1"/>
  <c r="B89" i="5"/>
  <c r="C88" i="5"/>
  <c r="R88" i="5" s="1"/>
  <c r="B88" i="5"/>
  <c r="R87" i="5"/>
  <c r="C87" i="5"/>
  <c r="B87" i="5"/>
  <c r="R86" i="5"/>
  <c r="C86" i="5"/>
  <c r="B86" i="5"/>
  <c r="C85" i="5"/>
  <c r="R85" i="5" s="1"/>
  <c r="B85" i="5"/>
  <c r="C84" i="5"/>
  <c r="R84" i="5" s="1"/>
  <c r="B84" i="5"/>
  <c r="R83" i="5"/>
  <c r="C83" i="5"/>
  <c r="B83" i="5"/>
  <c r="R82" i="5"/>
  <c r="C82" i="5"/>
  <c r="B82" i="5"/>
  <c r="C81" i="5"/>
  <c r="R81" i="5" s="1"/>
  <c r="B81" i="5"/>
  <c r="C80" i="5"/>
  <c r="R80" i="5" s="1"/>
  <c r="B80" i="5"/>
  <c r="R79" i="5"/>
  <c r="C79" i="5"/>
  <c r="B79" i="5"/>
  <c r="R78" i="5"/>
  <c r="C78" i="5"/>
  <c r="B78" i="5"/>
  <c r="C77" i="5"/>
  <c r="R77" i="5" s="1"/>
  <c r="B77" i="5"/>
  <c r="C76" i="5"/>
  <c r="R76" i="5" s="1"/>
  <c r="B76" i="5"/>
  <c r="R75" i="5"/>
  <c r="C75" i="5"/>
  <c r="B75" i="5"/>
  <c r="R74" i="5"/>
  <c r="C74" i="5"/>
  <c r="B74" i="5"/>
  <c r="C73" i="5"/>
  <c r="R73" i="5" s="1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R59" i="5"/>
  <c r="C59" i="5"/>
  <c r="B59" i="5"/>
  <c r="R58" i="5"/>
  <c r="C58" i="5"/>
  <c r="B58" i="5"/>
  <c r="R57" i="5"/>
  <c r="C57" i="5"/>
  <c r="B57" i="5"/>
  <c r="C56" i="5"/>
  <c r="R56" i="5" s="1"/>
  <c r="B56" i="5"/>
  <c r="C55" i="5"/>
  <c r="R55" i="5" s="1"/>
  <c r="B55" i="5"/>
  <c r="R54" i="5"/>
  <c r="C54" i="5"/>
  <c r="B54" i="5"/>
  <c r="R53" i="5"/>
  <c r="C53" i="5"/>
  <c r="B53" i="5"/>
  <c r="C52" i="5"/>
  <c r="R52" i="5" s="1"/>
  <c r="B52" i="5"/>
  <c r="C51" i="5"/>
  <c r="R51" i="5" s="1"/>
  <c r="B51" i="5"/>
  <c r="C50" i="5"/>
  <c r="R50" i="5" s="1"/>
  <c r="B50" i="5"/>
  <c r="R49" i="5"/>
  <c r="C49" i="5"/>
  <c r="B49" i="5"/>
  <c r="C48" i="5"/>
  <c r="R48" i="5" s="1"/>
  <c r="B48" i="5"/>
  <c r="C47" i="5"/>
  <c r="R47" i="5" s="1"/>
  <c r="B47" i="5"/>
  <c r="C46" i="5"/>
  <c r="R46" i="5" s="1"/>
  <c r="B46" i="5"/>
  <c r="R45" i="5"/>
  <c r="C45" i="5"/>
  <c r="B45" i="5"/>
  <c r="C44" i="5"/>
  <c r="R44" i="5" s="1"/>
  <c r="B44" i="5"/>
  <c r="C43" i="5"/>
  <c r="R43" i="5" s="1"/>
  <c r="B43" i="5"/>
  <c r="C42" i="5"/>
  <c r="R42" i="5" s="1"/>
  <c r="B42" i="5"/>
  <c r="R41" i="5"/>
  <c r="C41" i="5"/>
  <c r="B41" i="5"/>
  <c r="C40" i="5"/>
  <c r="R40" i="5" s="1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M12" i="5"/>
  <c r="L12" i="5"/>
  <c r="K12" i="5"/>
  <c r="I12" i="5"/>
  <c r="H12" i="5"/>
  <c r="F12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 s="1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 s="1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C115" i="4" a="1"/>
  <c r="DC115" i="4" s="1"/>
  <c r="DD115" i="4" s="1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D114" i="4"/>
  <c r="DC114" i="4" a="1"/>
  <c r="DC114" i="4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 s="1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 s="1"/>
  <c r="DD113" i="4" s="1"/>
  <c r="DB113" i="4"/>
  <c r="DA113" i="4"/>
  <c r="CZ113" i="4"/>
  <c r="CY113" i="4"/>
  <c r="CX113" i="4"/>
  <c r="CW113" i="4"/>
  <c r="CV113" i="4"/>
  <c r="CU113" i="4"/>
  <c r="CT113" i="4"/>
  <c r="CS113" i="4"/>
  <c r="CQ113" i="4" a="1"/>
  <c r="CQ113" i="4" s="1"/>
  <c r="CR113" i="4" s="1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 s="1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 s="1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C110" i="4" a="1"/>
  <c r="DC110" i="4" s="1"/>
  <c r="DD110" i="4" s="1"/>
  <c r="DB110" i="4"/>
  <c r="DA110" i="4"/>
  <c r="CZ110" i="4"/>
  <c r="CY110" i="4"/>
  <c r="CX110" i="4"/>
  <c r="CW110" i="4"/>
  <c r="CV110" i="4"/>
  <c r="CU110" i="4"/>
  <c r="CT110" i="4"/>
  <c r="CS110" i="4"/>
  <c r="CQ110" i="4" a="1"/>
  <c r="CQ110" i="4" s="1"/>
  <c r="CR110" i="4" s="1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G109" i="4"/>
  <c r="DC109" i="4" a="1"/>
  <c r="DC109" i="4"/>
  <c r="DD109" i="4" s="1"/>
  <c r="M104" i="5" s="1"/>
  <c r="DB109" i="4"/>
  <c r="DA109" i="4"/>
  <c r="CZ109" i="4"/>
  <c r="CY109" i="4"/>
  <c r="CX109" i="4"/>
  <c r="CW109" i="4"/>
  <c r="CV109" i="4"/>
  <c r="CU109" i="4"/>
  <c r="CT109" i="4"/>
  <c r="CS109" i="4"/>
  <c r="CR109" i="4"/>
  <c r="CQ109" i="4" a="1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F108" i="4"/>
  <c r="DC108" i="4" a="1"/>
  <c r="DC108" i="4" s="1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 s="1"/>
  <c r="CR108" i="4" s="1"/>
  <c r="L103" i="5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C107" i="4" a="1"/>
  <c r="DC107" i="4" s="1"/>
  <c r="DD107" i="4" s="1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D106" i="4"/>
  <c r="M101" i="5" s="1"/>
  <c r="DC106" i="4" a="1"/>
  <c r="DC106" i="4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 s="1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 s="1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 s="1"/>
  <c r="CR105" i="4" s="1"/>
  <c r="L100" i="5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D103" i="4"/>
  <c r="DC103" i="4" a="1"/>
  <c r="DC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 s="1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C102" i="4" a="1"/>
  <c r="DC102" i="4" s="1"/>
  <c r="DD102" i="4" s="1"/>
  <c r="DB102" i="4"/>
  <c r="DA102" i="4"/>
  <c r="CZ102" i="4"/>
  <c r="CY102" i="4"/>
  <c r="CX102" i="4"/>
  <c r="CW102" i="4"/>
  <c r="CV102" i="4"/>
  <c r="CU102" i="4"/>
  <c r="CT102" i="4"/>
  <c r="CS102" i="4"/>
  <c r="CQ102" i="4" a="1"/>
  <c r="CQ102" i="4" s="1"/>
  <c r="CR102" i="4" s="1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G101" i="4"/>
  <c r="DC101" i="4" a="1"/>
  <c r="DC101" i="4"/>
  <c r="DD101" i="4" s="1"/>
  <c r="M96" i="5" s="1"/>
  <c r="DB101" i="4"/>
  <c r="DA101" i="4"/>
  <c r="CZ101" i="4"/>
  <c r="CY101" i="4"/>
  <c r="CX101" i="4"/>
  <c r="CW101" i="4"/>
  <c r="CV101" i="4"/>
  <c r="CU101" i="4"/>
  <c r="CT101" i="4"/>
  <c r="CS101" i="4"/>
  <c r="CR101" i="4"/>
  <c r="CQ101" i="4" a="1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 s="1"/>
  <c r="CR100" i="4" s="1"/>
  <c r="L95" i="5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C99" i="4" a="1"/>
  <c r="DC99" i="4" s="1"/>
  <c r="DD99" i="4" s="1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G98" i="4"/>
  <c r="DD98" i="4"/>
  <c r="M93" i="5" s="1"/>
  <c r="DC98" i="4" a="1"/>
  <c r="DC98" i="4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 s="1"/>
  <c r="DD97" i="4" s="1"/>
  <c r="M92" i="5" s="1"/>
  <c r="DB97" i="4"/>
  <c r="DA97" i="4"/>
  <c r="CZ97" i="4"/>
  <c r="CY97" i="4"/>
  <c r="CX97" i="4"/>
  <c r="CW97" i="4"/>
  <c r="CV97" i="4"/>
  <c r="CU97" i="4"/>
  <c r="CT97" i="4"/>
  <c r="CS97" i="4"/>
  <c r="CQ97" i="4" a="1"/>
  <c r="CQ97" i="4" s="1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 s="1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D94" i="4"/>
  <c r="DC94" i="4" a="1"/>
  <c r="DC94" i="4" s="1"/>
  <c r="DB94" i="4"/>
  <c r="DA94" i="4"/>
  <c r="CZ94" i="4"/>
  <c r="CY94" i="4"/>
  <c r="CX94" i="4"/>
  <c r="CW94" i="4"/>
  <c r="CV94" i="4"/>
  <c r="CU94" i="4"/>
  <c r="CT94" i="4"/>
  <c r="CS94" i="4"/>
  <c r="CQ94" i="4" a="1"/>
  <c r="CQ94" i="4" s="1"/>
  <c r="CR94" i="4" s="1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 s="1"/>
  <c r="DD93" i="4" s="1"/>
  <c r="DB93" i="4"/>
  <c r="DA93" i="4"/>
  <c r="CZ93" i="4"/>
  <c r="CY93" i="4"/>
  <c r="CX93" i="4"/>
  <c r="CW93" i="4"/>
  <c r="CV93" i="4"/>
  <c r="CU93" i="4"/>
  <c r="CT93" i="4"/>
  <c r="CS93" i="4"/>
  <c r="CR93" i="4"/>
  <c r="CQ93" i="4" a="1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 s="1"/>
  <c r="CR92" i="4" s="1"/>
  <c r="L87" i="5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C91" i="4" a="1"/>
  <c r="DC91" i="4" s="1"/>
  <c r="DD91" i="4" s="1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G90" i="4"/>
  <c r="DD90" i="4"/>
  <c r="M85" i="5" s="1"/>
  <c r="DC90" i="4" a="1"/>
  <c r="DC90" i="4"/>
  <c r="DB90" i="4"/>
  <c r="DA90" i="4"/>
  <c r="CZ90" i="4"/>
  <c r="CY90" i="4"/>
  <c r="CX90" i="4"/>
  <c r="CW90" i="4"/>
  <c r="CV90" i="4"/>
  <c r="CU90" i="4"/>
  <c r="CT90" i="4"/>
  <c r="CS90" i="4"/>
  <c r="CR90" i="4"/>
  <c r="CQ90" i="4" a="1"/>
  <c r="CQ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G89" i="4"/>
  <c r="DC89" i="4" a="1"/>
  <c r="DC89" i="4" s="1"/>
  <c r="DD89" i="4" s="1"/>
  <c r="M84" i="5" s="1"/>
  <c r="DB89" i="4"/>
  <c r="DA89" i="4"/>
  <c r="CZ89" i="4"/>
  <c r="CY89" i="4"/>
  <c r="CX89" i="4"/>
  <c r="CW89" i="4"/>
  <c r="CV89" i="4"/>
  <c r="CU89" i="4"/>
  <c r="CT89" i="4"/>
  <c r="CS89" i="4"/>
  <c r="CR89" i="4"/>
  <c r="L84" i="5" s="1"/>
  <c r="CQ89" i="4" a="1"/>
  <c r="CQ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L83" i="5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D87" i="4"/>
  <c r="DC87" i="4" a="1"/>
  <c r="DC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D86" i="4"/>
  <c r="DC86" i="4" a="1"/>
  <c r="DC86" i="4" s="1"/>
  <c r="DB86" i="4"/>
  <c r="DA86" i="4"/>
  <c r="CZ86" i="4"/>
  <c r="CY86" i="4"/>
  <c r="CX86" i="4"/>
  <c r="CW86" i="4"/>
  <c r="CV86" i="4"/>
  <c r="CU86" i="4"/>
  <c r="CT86" i="4"/>
  <c r="CS86" i="4"/>
  <c r="CQ86" i="4" a="1"/>
  <c r="CQ86" i="4" s="1"/>
  <c r="CR86" i="4" s="1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G85" i="4"/>
  <c r="DC85" i="4" a="1"/>
  <c r="DC85" i="4"/>
  <c r="DD85" i="4" s="1"/>
  <c r="M80" i="5" s="1"/>
  <c r="DB85" i="4"/>
  <c r="DA85" i="4"/>
  <c r="CZ85" i="4"/>
  <c r="CY85" i="4"/>
  <c r="CX85" i="4"/>
  <c r="CW85" i="4"/>
  <c r="CV85" i="4"/>
  <c r="CU85" i="4"/>
  <c r="CT85" i="4"/>
  <c r="CS85" i="4"/>
  <c r="CR85" i="4"/>
  <c r="CQ85" i="4" a="1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D84" i="4"/>
  <c r="DC84" i="4" a="1"/>
  <c r="DC84" i="4"/>
  <c r="DB84" i="4"/>
  <c r="DA84" i="4"/>
  <c r="CZ84" i="4"/>
  <c r="CY84" i="4"/>
  <c r="CX84" i="4"/>
  <c r="CW84" i="4"/>
  <c r="CV84" i="4"/>
  <c r="CU84" i="4"/>
  <c r="CT84" i="4"/>
  <c r="CS84" i="4"/>
  <c r="CQ84" i="4" a="1"/>
  <c r="CQ84" i="4" s="1"/>
  <c r="CR84" i="4" s="1"/>
  <c r="L79" i="5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 s="1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D82" i="4"/>
  <c r="M77" i="5" s="1"/>
  <c r="DC82" i="4" a="1"/>
  <c r="DC82" i="4"/>
  <c r="DB82" i="4"/>
  <c r="DA82" i="4"/>
  <c r="CZ82" i="4"/>
  <c r="CY82" i="4"/>
  <c r="CX82" i="4"/>
  <c r="CW82" i="4"/>
  <c r="CV82" i="4"/>
  <c r="CU82" i="4"/>
  <c r="CT82" i="4"/>
  <c r="CS82" i="4"/>
  <c r="CQ82" i="4" a="1"/>
  <c r="CQ82" i="4" s="1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G81" i="4"/>
  <c r="DC81" i="4" a="1"/>
  <c r="DC81" i="4" s="1"/>
  <c r="DD81" i="4" s="1"/>
  <c r="M76" i="5" s="1"/>
  <c r="DB81" i="4"/>
  <c r="DA81" i="4"/>
  <c r="CZ81" i="4"/>
  <c r="CY81" i="4"/>
  <c r="CX81" i="4"/>
  <c r="CW81" i="4"/>
  <c r="CV81" i="4"/>
  <c r="CU81" i="4"/>
  <c r="CT81" i="4"/>
  <c r="CS81" i="4"/>
  <c r="CR81" i="4"/>
  <c r="L76" i="5" s="1"/>
  <c r="CQ81" i="4" a="1"/>
  <c r="CQ81" i="4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D79" i="4"/>
  <c r="M74" i="5" s="1"/>
  <c r="DC79" i="4" a="1"/>
  <c r="DC79" i="4" s="1"/>
  <c r="DB79" i="4"/>
  <c r="DA79" i="4"/>
  <c r="CZ79" i="4"/>
  <c r="CY79" i="4"/>
  <c r="CX79" i="4"/>
  <c r="CW79" i="4"/>
  <c r="CV79" i="4"/>
  <c r="CU79" i="4"/>
  <c r="CT79" i="4"/>
  <c r="CS79" i="4"/>
  <c r="CR79" i="4"/>
  <c r="CQ79" i="4" a="1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F78" i="4"/>
  <c r="DC78" i="4" a="1"/>
  <c r="DC78" i="4" s="1"/>
  <c r="DD78" i="4" s="1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L73" i="5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/>
  <c r="DD77" i="4" s="1"/>
  <c r="M72" i="5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D76" i="4"/>
  <c r="DC76" i="4" a="1"/>
  <c r="DC76" i="4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L71" i="5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 s="1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D74" i="4"/>
  <c r="M69" i="5" s="1"/>
  <c r="DC74" i="4" a="1"/>
  <c r="DC74" i="4"/>
  <c r="DB74" i="4"/>
  <c r="DA74" i="4"/>
  <c r="CZ74" i="4"/>
  <c r="CY74" i="4"/>
  <c r="CX74" i="4"/>
  <c r="CW74" i="4"/>
  <c r="CV74" i="4"/>
  <c r="CU74" i="4"/>
  <c r="CT74" i="4"/>
  <c r="CS74" i="4"/>
  <c r="CQ74" i="4" a="1"/>
  <c r="CQ74" i="4" s="1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G73" i="4"/>
  <c r="DC73" i="4" a="1"/>
  <c r="DC73" i="4" s="1"/>
  <c r="DD73" i="4" s="1"/>
  <c r="M68" i="5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 s="1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D71" i="4"/>
  <c r="M66" i="5" s="1"/>
  <c r="DC71" i="4" a="1"/>
  <c r="DC71" i="4" s="1"/>
  <c r="DB71" i="4"/>
  <c r="DA71" i="4"/>
  <c r="CZ71" i="4"/>
  <c r="CY71" i="4"/>
  <c r="CX71" i="4"/>
  <c r="CW71" i="4"/>
  <c r="CV71" i="4"/>
  <c r="CU71" i="4"/>
  <c r="CT71" i="4"/>
  <c r="CS71" i="4"/>
  <c r="CR71" i="4"/>
  <c r="CQ71" i="4" a="1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F70" i="4"/>
  <c r="DC70" i="4" a="1"/>
  <c r="DC70" i="4" s="1"/>
  <c r="DD70" i="4" s="1"/>
  <c r="DB70" i="4"/>
  <c r="DA70" i="4"/>
  <c r="CZ70" i="4"/>
  <c r="CY70" i="4"/>
  <c r="CX70" i="4"/>
  <c r="CW70" i="4"/>
  <c r="CV70" i="4"/>
  <c r="CU70" i="4"/>
  <c r="CT70" i="4"/>
  <c r="CS70" i="4"/>
  <c r="CQ70" i="4" a="1"/>
  <c r="CQ70" i="4" s="1"/>
  <c r="CR70" i="4" s="1"/>
  <c r="L65" i="5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/>
  <c r="DD69" i="4" s="1"/>
  <c r="M64" i="5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D68" i="4"/>
  <c r="DC68" i="4" a="1"/>
  <c r="DC68" i="4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L63" i="5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 s="1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F66" i="4"/>
  <c r="DD66" i="4"/>
  <c r="M61" i="5" s="1"/>
  <c r="DC66" i="4" a="1"/>
  <c r="DC66" i="4"/>
  <c r="DB66" i="4"/>
  <c r="DA66" i="4"/>
  <c r="CZ66" i="4"/>
  <c r="CY66" i="4"/>
  <c r="CX66" i="4"/>
  <c r="CW66" i="4"/>
  <c r="CV66" i="4"/>
  <c r="CU66" i="4"/>
  <c r="CT66" i="4"/>
  <c r="CS66" i="4"/>
  <c r="CR66" i="4"/>
  <c r="L61" i="5" s="1"/>
  <c r="CQ66" i="4" a="1"/>
  <c r="CQ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M60" i="5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D64" i="4"/>
  <c r="DC64" i="4" a="1"/>
  <c r="DC64" i="4"/>
  <c r="DB64" i="4"/>
  <c r="DA64" i="4"/>
  <c r="CZ64" i="4"/>
  <c r="CY64" i="4"/>
  <c r="CX64" i="4"/>
  <c r="CW64" i="4"/>
  <c r="CV64" i="4"/>
  <c r="CU64" i="4"/>
  <c r="CT64" i="4"/>
  <c r="CS64" i="4"/>
  <c r="CQ64" i="4" a="1"/>
  <c r="CQ64" i="4"/>
  <c r="CR64" i="4" s="1"/>
  <c r="L59" i="5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R63" i="4"/>
  <c r="CQ63" i="4" a="1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C62" i="4" a="1"/>
  <c r="DC62" i="4" s="1"/>
  <c r="DD62" i="4" s="1"/>
  <c r="DB62" i="4"/>
  <c r="DA62" i="4"/>
  <c r="CZ62" i="4"/>
  <c r="CY62" i="4"/>
  <c r="CX62" i="4"/>
  <c r="CW62" i="4"/>
  <c r="CV62" i="4"/>
  <c r="CU62" i="4"/>
  <c r="CT62" i="4"/>
  <c r="CS62" i="4"/>
  <c r="CQ62" i="4" a="1"/>
  <c r="CQ62" i="4" s="1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 s="1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R60" i="4"/>
  <c r="L55" i="5" s="1"/>
  <c r="CQ60" i="4" a="1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 s="1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 s="1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G57" i="4"/>
  <c r="DD57" i="4"/>
  <c r="M52" i="5" s="1"/>
  <c r="DC57" i="4" a="1"/>
  <c r="DC57" i="4"/>
  <c r="DB57" i="4"/>
  <c r="DA57" i="4"/>
  <c r="CZ57" i="4"/>
  <c r="CY57" i="4"/>
  <c r="CX57" i="4"/>
  <c r="CW57" i="4"/>
  <c r="CV57" i="4"/>
  <c r="CU57" i="4"/>
  <c r="CT57" i="4"/>
  <c r="CS57" i="4"/>
  <c r="CQ57" i="4" a="1"/>
  <c r="CQ57" i="4"/>
  <c r="CR57" i="4" s="1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 s="1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 s="1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R52" i="4"/>
  <c r="L47" i="5" s="1"/>
  <c r="CQ52" i="4" a="1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 s="1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 s="1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G49" i="4"/>
  <c r="DD49" i="4"/>
  <c r="M44" i="5" s="1"/>
  <c r="DC49" i="4" a="1"/>
  <c r="DC49" i="4"/>
  <c r="DB49" i="4"/>
  <c r="DA49" i="4"/>
  <c r="CZ49" i="4"/>
  <c r="CY49" i="4"/>
  <c r="CX49" i="4"/>
  <c r="CW49" i="4"/>
  <c r="CV49" i="4"/>
  <c r="CU49" i="4"/>
  <c r="CT49" i="4"/>
  <c r="CS49" i="4"/>
  <c r="CQ49" i="4" a="1"/>
  <c r="CQ49" i="4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 s="1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C46" i="4" a="1"/>
  <c r="DC46" i="4"/>
  <c r="DD46" i="4" s="1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Q45" i="4" a="1"/>
  <c r="CQ45" i="4" s="1"/>
  <c r="CR45" i="4" s="1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R44" i="4"/>
  <c r="L39" i="5" s="1"/>
  <c r="CQ44" i="4" a="1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 s="1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 s="1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G41" i="4"/>
  <c r="DD41" i="4"/>
  <c r="M36" i="5" s="1"/>
  <c r="DC41" i="4" a="1"/>
  <c r="DC41" i="4"/>
  <c r="DB41" i="4"/>
  <c r="DA41" i="4"/>
  <c r="CZ41" i="4"/>
  <c r="CY41" i="4"/>
  <c r="CX41" i="4"/>
  <c r="CW41" i="4"/>
  <c r="CV41" i="4"/>
  <c r="CU41" i="4"/>
  <c r="CT41" i="4"/>
  <c r="CS41" i="4"/>
  <c r="CQ41" i="4" a="1"/>
  <c r="CQ41" i="4"/>
  <c r="CR41" i="4" s="1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CQ40" i="4" s="1" a="1"/>
  <c r="CQ40" i="4" s="1"/>
  <c r="CR40" i="4" s="1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CQ39" i="4" s="1" a="1"/>
  <c r="CQ39" i="4" s="1"/>
  <c r="CR39" i="4" s="1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CQ38" i="4" s="1" a="1"/>
  <c r="CQ38" i="4" s="1"/>
  <c r="CR38" i="4" s="1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CQ36" i="4" s="1" a="1"/>
  <c r="CQ36" i="4" s="1"/>
  <c r="CR36" i="4" s="1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CU35" i="4"/>
  <c r="CT35" i="4"/>
  <c r="CS35" i="4"/>
  <c r="DC35" i="4" s="1" a="1"/>
  <c r="DC35" i="4" s="1"/>
  <c r="DD35" i="4" s="1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Q35" i="4" s="1" a="1"/>
  <c r="CQ35" i="4" s="1"/>
  <c r="CR35" i="4" s="1"/>
  <c r="CA35" i="4"/>
  <c r="BZ35" i="4"/>
  <c r="BY35" i="4"/>
  <c r="BX35" i="4"/>
  <c r="BW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D34" i="4"/>
  <c r="M29" i="5" s="1"/>
  <c r="DB34" i="4"/>
  <c r="DA34" i="4"/>
  <c r="CZ34" i="4"/>
  <c r="CY34" i="4"/>
  <c r="CX34" i="4"/>
  <c r="CW34" i="4"/>
  <c r="CV34" i="4"/>
  <c r="CU34" i="4"/>
  <c r="CT34" i="4"/>
  <c r="CS34" i="4"/>
  <c r="DC34" i="4" s="1" a="1"/>
  <c r="DC34" i="4" s="1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Q34" i="4" s="1" a="1"/>
  <c r="CQ34" i="4" s="1"/>
  <c r="CR34" i="4" s="1"/>
  <c r="CA34" i="4"/>
  <c r="BZ34" i="4"/>
  <c r="BY34" i="4"/>
  <c r="BX34" i="4"/>
  <c r="BW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DC33" i="4" s="1" a="1"/>
  <c r="DC33" i="4" s="1"/>
  <c r="DD33" i="4" s="1"/>
  <c r="CU33" i="4"/>
  <c r="CT33" i="4"/>
  <c r="CS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E32" i="4"/>
  <c r="DC32" i="4" a="1"/>
  <c r="DC32" i="4" s="1"/>
  <c r="DD32" i="4" s="1"/>
  <c r="DB32" i="4"/>
  <c r="DA32" i="4"/>
  <c r="CZ32" i="4"/>
  <c r="CY32" i="4"/>
  <c r="CX32" i="4"/>
  <c r="CW32" i="4"/>
  <c r="CV32" i="4"/>
  <c r="CU32" i="4"/>
  <c r="CT32" i="4"/>
  <c r="CS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DC31" i="4" s="1" a="1"/>
  <c r="DC31" i="4" s="1"/>
  <c r="DD31" i="4" s="1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DB28" i="4"/>
  <c r="DA28" i="4"/>
  <c r="CZ28" i="4"/>
  <c r="CY28" i="4"/>
  <c r="CX28" i="4"/>
  <c r="CW28" i="4"/>
  <c r="CV28" i="4"/>
  <c r="CU28" i="4"/>
  <c r="CT28" i="4"/>
  <c r="CS28" i="4"/>
  <c r="CQ28" i="4" a="1"/>
  <c r="CQ28" i="4" s="1"/>
  <c r="CR28" i="4" s="1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CU27" i="4"/>
  <c r="CT27" i="4"/>
  <c r="CS27" i="4"/>
  <c r="DC27" i="4" s="1" a="1"/>
  <c r="DC27" i="4" s="1"/>
  <c r="DD27" i="4" s="1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Q27" i="4" s="1" a="1"/>
  <c r="CQ27" i="4" s="1"/>
  <c r="CR27" i="4" s="1"/>
  <c r="CC27" i="4"/>
  <c r="CB27" i="4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E26" i="4"/>
  <c r="DD26" i="4"/>
  <c r="M21" i="5" s="1"/>
  <c r="DB26" i="4"/>
  <c r="DA26" i="4"/>
  <c r="CZ26" i="4"/>
  <c r="CY26" i="4"/>
  <c r="CX26" i="4"/>
  <c r="CW26" i="4"/>
  <c r="CV26" i="4"/>
  <c r="CU26" i="4"/>
  <c r="CT26" i="4"/>
  <c r="CS26" i="4"/>
  <c r="DC26" i="4" s="1" a="1"/>
  <c r="DC26" i="4" s="1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Q26" i="4" s="1" a="1"/>
  <c r="CQ26" i="4" s="1"/>
  <c r="CR26" i="4" s="1"/>
  <c r="CA26" i="4"/>
  <c r="BZ26" i="4"/>
  <c r="BY26" i="4"/>
  <c r="BX26" i="4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CQ25" i="4" s="1" a="1"/>
  <c r="CQ25" i="4" s="1"/>
  <c r="CR25" i="4" s="1"/>
  <c r="L20" i="5" s="1"/>
  <c r="BX25" i="4"/>
  <c r="BW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E24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DC23" i="4" s="1" a="1"/>
  <c r="DC23" i="4" s="1"/>
  <c r="DD23" i="4" s="1"/>
  <c r="CS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DC21" i="4" s="1" a="1"/>
  <c r="DC21" i="4" s="1"/>
  <c r="DD21" i="4" s="1"/>
  <c r="CS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CQ20" i="4" s="1" a="1"/>
  <c r="CQ20" i="4" s="1"/>
  <c r="CR20" i="4" s="1"/>
  <c r="BV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DC19" i="4" s="1" a="1"/>
  <c r="DC19" i="4" s="1"/>
  <c r="DD19" i="4" s="1"/>
  <c r="M14" i="5" s="1"/>
  <c r="CR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CQ19" i="4" s="1" a="1"/>
  <c r="CQ19" i="4" s="1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BU19" i="4" s="1" a="1"/>
  <c r="BU19" i="4" s="1"/>
  <c r="BV19" i="4" s="1"/>
  <c r="I19" i="4"/>
  <c r="H19" i="4"/>
  <c r="G19" i="4"/>
  <c r="F19" i="4"/>
  <c r="DB18" i="4"/>
  <c r="DA18" i="4"/>
  <c r="CZ18" i="4"/>
  <c r="CY18" i="4"/>
  <c r="CX18" i="4"/>
  <c r="CW18" i="4"/>
  <c r="CV18" i="4"/>
  <c r="CU18" i="4"/>
  <c r="CT18" i="4"/>
  <c r="CS18" i="4"/>
  <c r="DC18" i="4" s="1" a="1"/>
  <c r="DC18" i="4" s="1"/>
  <c r="DD18" i="4" s="1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Q18" i="4" s="1" a="1"/>
  <c r="CQ18" i="4" s="1"/>
  <c r="CR18" i="4" s="1"/>
  <c r="CA18" i="4"/>
  <c r="BZ18" i="4"/>
  <c r="BY18" i="4"/>
  <c r="BX18" i="4"/>
  <c r="BW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F35" i="3"/>
  <c r="G34" i="3"/>
  <c r="BU34" i="4" s="1" a="1"/>
  <c r="BU34" i="4" s="1"/>
  <c r="BV34" i="4" s="1"/>
  <c r="K29" i="5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K27" i="5" s="1"/>
  <c r="F32" i="3"/>
  <c r="G31" i="3"/>
  <c r="F31" i="3"/>
  <c r="G30" i="3"/>
  <c r="F30" i="3"/>
  <c r="G29" i="3"/>
  <c r="F29" i="3"/>
  <c r="G28" i="3"/>
  <c r="BU28" i="4" s="1" a="1"/>
  <c r="BU28" i="4" s="1"/>
  <c r="BV28" i="4" s="1"/>
  <c r="F28" i="3"/>
  <c r="G27" i="3"/>
  <c r="F27" i="3"/>
  <c r="G26" i="3"/>
  <c r="BU26" i="4" s="1" a="1"/>
  <c r="BU26" i="4" s="1"/>
  <c r="BV26" i="4" s="1"/>
  <c r="K21" i="5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K19" i="5" s="1"/>
  <c r="F24" i="3"/>
  <c r="G23" i="3"/>
  <c r="F23" i="3"/>
  <c r="G22" i="3"/>
  <c r="BU22" i="4" s="1" a="1"/>
  <c r="BU22" i="4" s="1"/>
  <c r="BV22" i="4" s="1"/>
  <c r="F22" i="3"/>
  <c r="G21" i="3"/>
  <c r="F21" i="3"/>
  <c r="G20" i="3"/>
  <c r="BU20" i="4" s="1" a="1"/>
  <c r="BU20" i="4" s="1"/>
  <c r="F20" i="3"/>
  <c r="G19" i="3"/>
  <c r="F19" i="3"/>
  <c r="G18" i="3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G117" i="2"/>
  <c r="DE117" i="2"/>
  <c r="DD117" i="2"/>
  <c r="I112" i="5" s="1"/>
  <c r="DC117" i="2" a="1"/>
  <c r="DC117" i="2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/>
  <c r="CR117" i="2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 s="1"/>
  <c r="BV117" i="2" s="1"/>
  <c r="F112" i="5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F116" i="2"/>
  <c r="DD116" i="2"/>
  <c r="DC116" i="2" a="1"/>
  <c r="DC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 s="1"/>
  <c r="CR116" i="2" s="1"/>
  <c r="H111" i="5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/>
  <c r="BV116" i="2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E115" i="2"/>
  <c r="DC115" i="2" a="1"/>
  <c r="DC115" i="2" s="1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F110" i="5" s="1"/>
  <c r="BU115" i="2" a="1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D114" i="2"/>
  <c r="DC114" i="2" a="1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H109" i="5" s="1"/>
  <c r="CQ114" i="2" a="1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C113" i="2" a="1"/>
  <c r="DC113" i="2" s="1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F108" i="5" s="1"/>
  <c r="BU113" i="2" a="1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C112" i="2" a="1"/>
  <c r="DC112" i="2"/>
  <c r="DD112" i="2" s="1"/>
  <c r="DB112" i="2"/>
  <c r="DA112" i="2"/>
  <c r="CZ112" i="2"/>
  <c r="CY112" i="2"/>
  <c r="CX112" i="2"/>
  <c r="CW112" i="2"/>
  <c r="CV112" i="2"/>
  <c r="CU112" i="2"/>
  <c r="CT112" i="2"/>
  <c r="CS112" i="2"/>
  <c r="CR112" i="2"/>
  <c r="H107" i="5" s="1"/>
  <c r="CQ112" i="2" a="1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 a="1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G111" i="2"/>
  <c r="DD111" i="2"/>
  <c r="I106" i="5" s="1"/>
  <c r="DC111" i="2" a="1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 a="1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 s="1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DB110" i="2"/>
  <c r="DA110" i="2"/>
  <c r="CZ110" i="2"/>
  <c r="CY110" i="2"/>
  <c r="CX110" i="2"/>
  <c r="CW110" i="2"/>
  <c r="CV110" i="2"/>
  <c r="CU110" i="2"/>
  <c r="CT110" i="2"/>
  <c r="CS110" i="2"/>
  <c r="CQ110" i="2" a="1"/>
  <c r="CQ110" i="2" s="1"/>
  <c r="CR110" i="2" s="1"/>
  <c r="H105" i="5" s="1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/>
  <c r="BV110" i="2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G109" i="2"/>
  <c r="DC109" i="2" a="1"/>
  <c r="DC109" i="2" s="1"/>
  <c r="DD109" i="2" s="1"/>
  <c r="I104" i="5" s="1"/>
  <c r="DB109" i="2"/>
  <c r="DA109" i="2"/>
  <c r="CZ109" i="2"/>
  <c r="CY109" i="2"/>
  <c r="CX109" i="2"/>
  <c r="CW109" i="2"/>
  <c r="CV109" i="2"/>
  <c r="CU109" i="2"/>
  <c r="CT109" i="2"/>
  <c r="CS109" i="2"/>
  <c r="CR109" i="2"/>
  <c r="CQ109" i="2" a="1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 s="1"/>
  <c r="BV109" i="2" s="1"/>
  <c r="F104" i="5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D108" i="2"/>
  <c r="DC108" i="2" a="1"/>
  <c r="DC108" i="2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 s="1"/>
  <c r="CR108" i="2" s="1"/>
  <c r="H103" i="5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/>
  <c r="BV108" i="2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E107" i="2"/>
  <c r="DC107" i="2" a="1"/>
  <c r="DC107" i="2" s="1"/>
  <c r="DD107" i="2" s="1"/>
  <c r="DB107" i="2"/>
  <c r="DA107" i="2"/>
  <c r="CZ107" i="2"/>
  <c r="CY107" i="2"/>
  <c r="CX107" i="2"/>
  <c r="CW107" i="2"/>
  <c r="CV107" i="2"/>
  <c r="CU107" i="2"/>
  <c r="CT107" i="2"/>
  <c r="CS107" i="2"/>
  <c r="CQ107" i="2" a="1"/>
  <c r="CQ107" i="2"/>
  <c r="CR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F102" i="5" s="1"/>
  <c r="BU107" i="2" a="1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D106" i="2"/>
  <c r="DC106" i="2" a="1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H101" i="5" s="1"/>
  <c r="CQ106" i="2" a="1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 s="1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 s="1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 s="1"/>
  <c r="CR105" i="2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 s="1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/>
  <c r="DD104" i="2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 a="1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G103" i="2"/>
  <c r="DD103" i="2"/>
  <c r="I98" i="5" s="1"/>
  <c r="DC103" i="2" a="1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 a="1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U103" i="2" a="1"/>
  <c r="BU103" i="2" s="1"/>
  <c r="BV103" i="2" s="1"/>
  <c r="F98" i="5" s="1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C102" i="2" a="1"/>
  <c r="DC102" i="2" s="1"/>
  <c r="DD102" i="2" s="1"/>
  <c r="DB102" i="2"/>
  <c r="DA102" i="2"/>
  <c r="CZ102" i="2"/>
  <c r="CY102" i="2"/>
  <c r="CX102" i="2"/>
  <c r="CW102" i="2"/>
  <c r="CV102" i="2"/>
  <c r="CU102" i="2"/>
  <c r="CT102" i="2"/>
  <c r="CS102" i="2"/>
  <c r="CQ102" i="2" a="1"/>
  <c r="CQ102" i="2" s="1"/>
  <c r="CR102" i="2" s="1"/>
  <c r="H97" i="5" s="1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/>
  <c r="BV102" i="2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C101" i="2" a="1"/>
  <c r="DC101" i="2" s="1"/>
  <c r="DD101" i="2" s="1"/>
  <c r="I96" i="5" s="1"/>
  <c r="DB101" i="2"/>
  <c r="DA101" i="2"/>
  <c r="CZ101" i="2"/>
  <c r="CY101" i="2"/>
  <c r="CX101" i="2"/>
  <c r="CW101" i="2"/>
  <c r="CV101" i="2"/>
  <c r="CU101" i="2"/>
  <c r="CT101" i="2"/>
  <c r="CS101" i="2"/>
  <c r="CR101" i="2"/>
  <c r="CQ101" i="2" a="1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 s="1"/>
  <c r="BV101" i="2" s="1"/>
  <c r="F96" i="5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 s="1"/>
  <c r="CR100" i="2" s="1"/>
  <c r="H95" i="5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U100" i="2" a="1"/>
  <c r="BU100" i="2"/>
  <c r="BV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E99" i="2"/>
  <c r="DC99" i="2" a="1"/>
  <c r="DC99" i="2" s="1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F94" i="5" s="1"/>
  <c r="BU99" i="2" a="1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C98" i="2" a="1"/>
  <c r="DC98" i="2"/>
  <c r="DD98" i="2" s="1"/>
  <c r="DB98" i="2"/>
  <c r="DA98" i="2"/>
  <c r="CZ98" i="2"/>
  <c r="CY98" i="2"/>
  <c r="CX98" i="2"/>
  <c r="CW98" i="2"/>
  <c r="CV98" i="2"/>
  <c r="CU98" i="2"/>
  <c r="CT98" i="2"/>
  <c r="CS98" i="2"/>
  <c r="CR98" i="2"/>
  <c r="H93" i="5" s="1"/>
  <c r="CQ98" i="2" a="1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 a="1"/>
  <c r="BU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 s="1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R97" i="2"/>
  <c r="CQ97" i="2" a="1"/>
  <c r="CQ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C96" i="2" a="1"/>
  <c r="DC96" i="2"/>
  <c r="DD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 s="1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 a="1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G95" i="2"/>
  <c r="DE95" i="2"/>
  <c r="DD95" i="2"/>
  <c r="I90" i="5" s="1"/>
  <c r="DC95" i="2" a="1"/>
  <c r="DC95" i="2"/>
  <c r="DB95" i="2"/>
  <c r="DA95" i="2"/>
  <c r="CZ95" i="2"/>
  <c r="CY95" i="2"/>
  <c r="CX95" i="2"/>
  <c r="CW95" i="2"/>
  <c r="CV95" i="2"/>
  <c r="CU95" i="2"/>
  <c r="CT95" i="2"/>
  <c r="CS95" i="2"/>
  <c r="CQ95" i="2" a="1"/>
  <c r="CQ95" i="2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 s="1"/>
  <c r="BV95" i="2" s="1"/>
  <c r="F90" i="5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D94" i="2"/>
  <c r="DC94" i="2" a="1"/>
  <c r="DC94" i="2" s="1"/>
  <c r="DB94" i="2"/>
  <c r="DA94" i="2"/>
  <c r="CZ94" i="2"/>
  <c r="CY94" i="2"/>
  <c r="CX94" i="2"/>
  <c r="CW94" i="2"/>
  <c r="CV94" i="2"/>
  <c r="CU94" i="2"/>
  <c r="CT94" i="2"/>
  <c r="CS94" i="2"/>
  <c r="CQ94" i="2" a="1"/>
  <c r="CQ94" i="2" s="1"/>
  <c r="CR94" i="2" s="1"/>
  <c r="H89" i="5" s="1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/>
  <c r="BV94" i="2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G93" i="2"/>
  <c r="DC93" i="2" a="1"/>
  <c r="DC93" i="2" s="1"/>
  <c r="DD93" i="2" s="1"/>
  <c r="I88" i="5" s="1"/>
  <c r="DB93" i="2"/>
  <c r="DA93" i="2"/>
  <c r="CZ93" i="2"/>
  <c r="CY93" i="2"/>
  <c r="CX93" i="2"/>
  <c r="CW93" i="2"/>
  <c r="CV93" i="2"/>
  <c r="CU93" i="2"/>
  <c r="CT93" i="2"/>
  <c r="CS93" i="2"/>
  <c r="CR93" i="2"/>
  <c r="CQ93" i="2" a="1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 s="1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 s="1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/>
  <c r="BV92" i="2" s="1"/>
  <c r="F87" i="5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E91" i="2"/>
  <c r="DC91" i="2" a="1"/>
  <c r="DC91" i="2" s="1"/>
  <c r="DD91" i="2" s="1"/>
  <c r="DB91" i="2"/>
  <c r="DA91" i="2"/>
  <c r="CZ91" i="2"/>
  <c r="CY91" i="2"/>
  <c r="CX91" i="2"/>
  <c r="CW91" i="2"/>
  <c r="CV91" i="2"/>
  <c r="CU91" i="2"/>
  <c r="CT91" i="2"/>
  <c r="CS91" i="2"/>
  <c r="CQ91" i="2" a="1"/>
  <c r="CQ91" i="2"/>
  <c r="CR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F86" i="5" s="1"/>
  <c r="BU91" i="2" a="1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C90" i="2" a="1"/>
  <c r="DC90" i="2" s="1"/>
  <c r="DD90" i="2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 s="1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C89" i="2" a="1"/>
  <c r="DC89" i="2" s="1"/>
  <c r="DD89" i="2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C88" i="2" a="1"/>
  <c r="DC88" i="2"/>
  <c r="DD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H83" i="5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/>
  <c r="BV88" i="2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G87" i="2"/>
  <c r="DD87" i="2"/>
  <c r="I82" i="5" s="1"/>
  <c r="DC87" i="2" a="1"/>
  <c r="DC87" i="2"/>
  <c r="DB87" i="2"/>
  <c r="DA87" i="2"/>
  <c r="CZ87" i="2"/>
  <c r="CY87" i="2"/>
  <c r="CX87" i="2"/>
  <c r="CW87" i="2"/>
  <c r="CV87" i="2"/>
  <c r="CU87" i="2"/>
  <c r="CT87" i="2"/>
  <c r="CS87" i="2"/>
  <c r="CQ87" i="2" a="1"/>
  <c r="CQ87" i="2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 s="1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G86" i="2"/>
  <c r="DD86" i="2"/>
  <c r="I81" i="5" s="1"/>
  <c r="DC86" i="2" a="1"/>
  <c r="DC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 s="1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C85" i="2" a="1"/>
  <c r="DC85" i="2" s="1"/>
  <c r="DD85" i="2" s="1"/>
  <c r="I80" i="5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 s="1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E84" i="2"/>
  <c r="DD84" i="2"/>
  <c r="DC84" i="2" a="1"/>
  <c r="DC84" i="2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H79" i="5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U84" i="2" a="1"/>
  <c r="BU84" i="2"/>
  <c r="BV84" i="2" s="1"/>
  <c r="F79" i="5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E83" i="2"/>
  <c r="DD83" i="2"/>
  <c r="DC83" i="2" a="1"/>
  <c r="DC83" i="2" s="1"/>
  <c r="DB83" i="2"/>
  <c r="DA83" i="2"/>
  <c r="CZ83" i="2"/>
  <c r="CY83" i="2"/>
  <c r="CX83" i="2"/>
  <c r="CW83" i="2"/>
  <c r="CV83" i="2"/>
  <c r="CU83" i="2"/>
  <c r="CT83" i="2"/>
  <c r="CS83" i="2"/>
  <c r="CQ83" i="2" a="1"/>
  <c r="CQ83" i="2"/>
  <c r="CR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/>
  <c r="BV83" i="2" s="1"/>
  <c r="F78" i="5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C82" i="2" a="1"/>
  <c r="DC82" i="2" s="1"/>
  <c r="DD82" i="2" s="1"/>
  <c r="DB82" i="2"/>
  <c r="DA82" i="2"/>
  <c r="CZ82" i="2"/>
  <c r="CY82" i="2"/>
  <c r="CX82" i="2"/>
  <c r="CW82" i="2"/>
  <c r="CV82" i="2"/>
  <c r="CU82" i="2"/>
  <c r="CT82" i="2"/>
  <c r="CS82" i="2"/>
  <c r="CQ82" i="2" a="1"/>
  <c r="CQ82" i="2"/>
  <c r="CR82" i="2" s="1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 s="1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 s="1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/>
  <c r="DD80" i="2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H75" i="5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/>
  <c r="DD79" i="2" s="1"/>
  <c r="I74" i="5" s="1"/>
  <c r="DB79" i="2"/>
  <c r="DA79" i="2"/>
  <c r="CZ79" i="2"/>
  <c r="CY79" i="2"/>
  <c r="CX79" i="2"/>
  <c r="CW79" i="2"/>
  <c r="CV79" i="2"/>
  <c r="CU79" i="2"/>
  <c r="CT79" i="2"/>
  <c r="CS79" i="2"/>
  <c r="CQ79" i="2" a="1"/>
  <c r="CQ79" i="2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C78" i="2" a="1"/>
  <c r="DC78" i="2" s="1"/>
  <c r="DD78" i="2" s="1"/>
  <c r="DB78" i="2"/>
  <c r="DA78" i="2"/>
  <c r="CZ78" i="2"/>
  <c r="CY78" i="2"/>
  <c r="CX78" i="2"/>
  <c r="CW78" i="2"/>
  <c r="CV78" i="2"/>
  <c r="CU78" i="2"/>
  <c r="CT78" i="2"/>
  <c r="CS78" i="2"/>
  <c r="CQ78" i="2" a="1"/>
  <c r="CQ78" i="2" s="1"/>
  <c r="CR78" i="2" s="1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U78" i="2" a="1"/>
  <c r="BU78" i="2" s="1"/>
  <c r="BV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G77" i="2"/>
  <c r="DE77" i="2"/>
  <c r="DD77" i="2"/>
  <c r="I72" i="5" s="1"/>
  <c r="DC77" i="2" a="1"/>
  <c r="DC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F72" i="5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 s="1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E75" i="2"/>
  <c r="DC75" i="2" a="1"/>
  <c r="DC75" i="2" s="1"/>
  <c r="DD75" i="2" s="1"/>
  <c r="DB75" i="2"/>
  <c r="DA75" i="2"/>
  <c r="CZ75" i="2"/>
  <c r="CY75" i="2"/>
  <c r="CX75" i="2"/>
  <c r="CW75" i="2"/>
  <c r="CV75" i="2"/>
  <c r="CU75" i="2"/>
  <c r="CT75" i="2"/>
  <c r="CS75" i="2"/>
  <c r="CQ75" i="2" a="1"/>
  <c r="CQ75" i="2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I68" i="5" s="1"/>
  <c r="DB73" i="2"/>
  <c r="DA73" i="2"/>
  <c r="CZ73" i="2"/>
  <c r="CY73" i="2"/>
  <c r="CX73" i="2"/>
  <c r="CW73" i="2"/>
  <c r="CV73" i="2"/>
  <c r="CU73" i="2"/>
  <c r="CT73" i="2"/>
  <c r="CS73" i="2"/>
  <c r="CR73" i="2"/>
  <c r="H68" i="5" s="1"/>
  <c r="CQ73" i="2" a="1"/>
  <c r="CQ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 s="1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G72" i="2"/>
  <c r="DC72" i="2" a="1"/>
  <c r="DC72" i="2"/>
  <c r="DD72" i="2" s="1"/>
  <c r="I67" i="5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U71" i="2" a="1"/>
  <c r="BU71" i="2"/>
  <c r="BV71" i="2" s="1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DB70" i="2"/>
  <c r="DA70" i="2"/>
  <c r="CZ70" i="2"/>
  <c r="CY70" i="2"/>
  <c r="CX70" i="2"/>
  <c r="CW70" i="2"/>
  <c r="CV70" i="2"/>
  <c r="CU70" i="2"/>
  <c r="CT70" i="2"/>
  <c r="CS70" i="2"/>
  <c r="CQ70" i="2" a="1"/>
  <c r="CQ70" i="2"/>
  <c r="CR70" i="2" s="1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/>
  <c r="CR69" i="2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 s="1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 s="1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/>
  <c r="BV68" i="2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C67" i="2" a="1"/>
  <c r="DC67" i="2"/>
  <c r="DD67" i="2" s="1"/>
  <c r="DB67" i="2"/>
  <c r="DA67" i="2"/>
  <c r="CZ67" i="2"/>
  <c r="CY67" i="2"/>
  <c r="CX67" i="2"/>
  <c r="CW67" i="2"/>
  <c r="CV67" i="2"/>
  <c r="CU67" i="2"/>
  <c r="CT67" i="2"/>
  <c r="CS67" i="2"/>
  <c r="CQ67" i="2" a="1"/>
  <c r="CQ67" i="2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U67" i="2" a="1"/>
  <c r="BU67" i="2" s="1"/>
  <c r="BV67" i="2" s="1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/>
  <c r="DD66" i="2" s="1"/>
  <c r="DB66" i="2"/>
  <c r="DA66" i="2"/>
  <c r="CZ66" i="2"/>
  <c r="CY66" i="2"/>
  <c r="CX66" i="2"/>
  <c r="CW66" i="2"/>
  <c r="CV66" i="2"/>
  <c r="CU66" i="2"/>
  <c r="CT66" i="2"/>
  <c r="CS66" i="2"/>
  <c r="CQ66" i="2" a="1"/>
  <c r="CQ66" i="2" s="1"/>
  <c r="CR66" i="2" s="1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 s="1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C63" i="2" a="1"/>
  <c r="DC63" i="2" s="1"/>
  <c r="DD63" i="2" s="1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U63" i="2" a="1"/>
  <c r="BU63" i="2"/>
  <c r="BV63" i="2" s="1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DB62" i="2"/>
  <c r="DA62" i="2"/>
  <c r="CZ62" i="2"/>
  <c r="CY62" i="2"/>
  <c r="CX62" i="2"/>
  <c r="CW62" i="2"/>
  <c r="CV62" i="2"/>
  <c r="CU62" i="2"/>
  <c r="CT62" i="2"/>
  <c r="CS62" i="2"/>
  <c r="CQ62" i="2" a="1"/>
  <c r="CQ62" i="2"/>
  <c r="CR62" i="2" s="1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/>
  <c r="CR61" i="2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 s="1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F55" i="5" s="1"/>
  <c r="BU60" i="2" a="1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C59" i="2" a="1"/>
  <c r="DC59" i="2"/>
  <c r="DD59" i="2" s="1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Q58" i="2" a="1"/>
  <c r="CQ58" i="2" s="1"/>
  <c r="CR58" i="2" s="1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C55" i="2" a="1"/>
  <c r="DC55" i="2" s="1"/>
  <c r="DD55" i="2" s="1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U55" i="2" a="1"/>
  <c r="BU55" i="2"/>
  <c r="BV55" i="2" s="1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C54" i="2" a="1"/>
  <c r="DC54" i="2" s="1"/>
  <c r="DD54" i="2" s="1"/>
  <c r="DB54" i="2"/>
  <c r="DA54" i="2"/>
  <c r="CZ54" i="2"/>
  <c r="CY54" i="2"/>
  <c r="CX54" i="2"/>
  <c r="CW54" i="2"/>
  <c r="CV54" i="2"/>
  <c r="CU54" i="2"/>
  <c r="CT54" i="2"/>
  <c r="CS54" i="2"/>
  <c r="CQ54" i="2" a="1"/>
  <c r="CQ54" i="2"/>
  <c r="CR54" i="2" s="1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 s="1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C51" i="2" a="1"/>
  <c r="DC51" i="2"/>
  <c r="DD51" i="2" s="1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U51" i="2" a="1"/>
  <c r="BU51" i="2" s="1"/>
  <c r="BV51" i="2" s="1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Q50" i="2" a="1"/>
  <c r="CQ50" i="2" s="1"/>
  <c r="CR50" i="2" s="1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 s="1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C47" i="2" a="1"/>
  <c r="DC47" i="2" s="1"/>
  <c r="DD47" i="2" s="1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U47" i="2" a="1"/>
  <c r="BU47" i="2"/>
  <c r="BV47" i="2" s="1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DB46" i="2"/>
  <c r="DA46" i="2"/>
  <c r="CZ46" i="2"/>
  <c r="CY46" i="2"/>
  <c r="CX46" i="2"/>
  <c r="CW46" i="2"/>
  <c r="CV46" i="2"/>
  <c r="CU46" i="2"/>
  <c r="CT46" i="2"/>
  <c r="CS46" i="2"/>
  <c r="CQ46" i="2" a="1"/>
  <c r="CQ46" i="2"/>
  <c r="CR46" i="2" s="1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 s="1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 s="1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/>
  <c r="BV44" i="2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C43" i="2" a="1"/>
  <c r="DC43" i="2"/>
  <c r="DD43" i="2" s="1"/>
  <c r="DB43" i="2"/>
  <c r="DA43" i="2"/>
  <c r="CZ43" i="2"/>
  <c r="CY43" i="2"/>
  <c r="CX43" i="2"/>
  <c r="CW43" i="2"/>
  <c r="CV43" i="2"/>
  <c r="CU43" i="2"/>
  <c r="CT43" i="2"/>
  <c r="CS43" i="2"/>
  <c r="CR43" i="2"/>
  <c r="H38" i="5" s="1"/>
  <c r="CQ43" i="2" a="1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U43" i="2" a="1"/>
  <c r="BU43" i="2" s="1"/>
  <c r="BV43" i="2" s="1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Q42" i="2" a="1"/>
  <c r="CQ42" i="2" s="1"/>
  <c r="CR42" i="2" s="1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DC40" i="2" s="1" a="1"/>
  <c r="DC40" i="2" s="1"/>
  <c r="DD40" i="2" s="1"/>
  <c r="CU40" i="2"/>
  <c r="CT40" i="2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CQ40" i="2" s="1" a="1"/>
  <c r="CQ40" i="2" s="1"/>
  <c r="CR40" i="2" s="1"/>
  <c r="BZ40" i="2"/>
  <c r="BY40" i="2"/>
  <c r="BX40" i="2"/>
  <c r="BW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BU40" i="2" s="1" a="1"/>
  <c r="BU40" i="2" s="1"/>
  <c r="BV40" i="2" s="1"/>
  <c r="G40" i="2"/>
  <c r="F40" i="2"/>
  <c r="DB39" i="2"/>
  <c r="DA39" i="2"/>
  <c r="CZ39" i="2"/>
  <c r="CY39" i="2"/>
  <c r="CX39" i="2"/>
  <c r="CW39" i="2"/>
  <c r="CV39" i="2"/>
  <c r="DC39" i="2" s="1" a="1"/>
  <c r="DC39" i="2" s="1"/>
  <c r="DD39" i="2" s="1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CQ39" i="2" s="1" a="1"/>
  <c r="CQ39" i="2" s="1"/>
  <c r="CR39" i="2" s="1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C38" i="2" a="1"/>
  <c r="DC38" i="2" s="1"/>
  <c r="DD38" i="2" s="1"/>
  <c r="DB38" i="2"/>
  <c r="DA38" i="2"/>
  <c r="CZ38" i="2"/>
  <c r="CY38" i="2"/>
  <c r="CX38" i="2"/>
  <c r="CW38" i="2"/>
  <c r="CV38" i="2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CQ38" i="2" s="1" a="1"/>
  <c r="CQ38" i="2" s="1"/>
  <c r="CR38" i="2" s="1"/>
  <c r="BX38" i="2"/>
  <c r="BW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BU38" i="2" s="1" a="1"/>
  <c r="BU38" i="2" s="1"/>
  <c r="BV38" i="2" s="1"/>
  <c r="G38" i="2"/>
  <c r="F38" i="2"/>
  <c r="DB37" i="2"/>
  <c r="DA37" i="2"/>
  <c r="CZ37" i="2"/>
  <c r="CY37" i="2"/>
  <c r="CX37" i="2"/>
  <c r="CW37" i="2"/>
  <c r="CV37" i="2"/>
  <c r="CU37" i="2"/>
  <c r="DC37" i="2" s="1" a="1"/>
  <c r="DC37" i="2" s="1"/>
  <c r="DD37" i="2" s="1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BU37" i="2" s="1" a="1"/>
  <c r="BU37" i="2" s="1"/>
  <c r="BV37" i="2" s="1"/>
  <c r="G37" i="2"/>
  <c r="F37" i="2"/>
  <c r="DB36" i="2"/>
  <c r="DA36" i="2"/>
  <c r="CZ36" i="2"/>
  <c r="CY36" i="2"/>
  <c r="CX36" i="2"/>
  <c r="CW36" i="2"/>
  <c r="CV36" i="2"/>
  <c r="CU36" i="2"/>
  <c r="CT36" i="2"/>
  <c r="DC36" i="2" s="1" a="1"/>
  <c r="DC36" i="2" s="1"/>
  <c r="DD36" i="2" s="1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CQ36" i="2" s="1" a="1"/>
  <c r="CQ36" i="2" s="1"/>
  <c r="CR36" i="2" s="1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DC35" i="2" s="1" a="1"/>
  <c r="DC35" i="2" s="1"/>
  <c r="DD35" i="2" s="1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BU35" i="2" s="1" a="1"/>
  <c r="BU35" i="2" s="1"/>
  <c r="BV35" i="2" s="1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CQ34" i="2" s="1" a="1"/>
  <c r="CQ34" i="2" s="1"/>
  <c r="CR34" i="2" s="1"/>
  <c r="BU34" i="2" a="1"/>
  <c r="BU34" i="2" s="1"/>
  <c r="BV34" i="2" s="1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DB33" i="2"/>
  <c r="DA33" i="2"/>
  <c r="CZ33" i="2"/>
  <c r="CY33" i="2"/>
  <c r="CX33" i="2"/>
  <c r="CW33" i="2"/>
  <c r="CV33" i="2"/>
  <c r="CU33" i="2"/>
  <c r="CT33" i="2"/>
  <c r="CS33" i="2"/>
  <c r="DC33" i="2" s="1" a="1"/>
  <c r="DC33" i="2" s="1"/>
  <c r="DD33" i="2" s="1"/>
  <c r="CQ33" i="2" a="1"/>
  <c r="CQ33" i="2" s="1"/>
  <c r="CR33" i="2" s="1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BU33" i="2" s="1" a="1"/>
  <c r="BU33" i="2" s="1"/>
  <c r="BV33" i="2" s="1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CQ32" i="2" s="1" a="1"/>
  <c r="CQ32" i="2" s="1"/>
  <c r="CR32" i="2" s="1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CQ31" i="2" s="1" a="1"/>
  <c r="CQ31" i="2" s="1"/>
  <c r="CR31" i="2" s="1"/>
  <c r="BY31" i="2"/>
  <c r="BX31" i="2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C30" i="2" a="1"/>
  <c r="DC30" i="2" s="1"/>
  <c r="DD30" i="2" s="1"/>
  <c r="DB30" i="2"/>
  <c r="DA30" i="2"/>
  <c r="CZ30" i="2"/>
  <c r="CY30" i="2"/>
  <c r="CX30" i="2"/>
  <c r="CW30" i="2"/>
  <c r="CV30" i="2"/>
  <c r="CU30" i="2"/>
  <c r="CT30" i="2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CQ30" i="2" s="1" a="1"/>
  <c r="CQ30" i="2" s="1"/>
  <c r="CR30" i="2" s="1"/>
  <c r="BX30" i="2"/>
  <c r="BW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BU30" i="2" s="1" a="1"/>
  <c r="BU30" i="2" s="1"/>
  <c r="BV30" i="2" s="1"/>
  <c r="G30" i="2"/>
  <c r="F30" i="2"/>
  <c r="DB29" i="2"/>
  <c r="DA29" i="2"/>
  <c r="CZ29" i="2"/>
  <c r="CY29" i="2"/>
  <c r="CX29" i="2"/>
  <c r="CW29" i="2"/>
  <c r="CV29" i="2"/>
  <c r="CU29" i="2"/>
  <c r="DC29" i="2" s="1" a="1"/>
  <c r="DC29" i="2" s="1"/>
  <c r="DD29" i="2" s="1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CQ29" i="2" s="1" a="1"/>
  <c r="CQ29" i="2" s="1"/>
  <c r="CR29" i="2" s="1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BU29" i="2" s="1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CT28" i="2"/>
  <c r="DC28" i="2" s="1" a="1"/>
  <c r="DC28" i="2" s="1"/>
  <c r="DD28" i="2" s="1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CQ28" i="2" s="1" a="1"/>
  <c r="CQ28" i="2" s="1"/>
  <c r="CR28" i="2" s="1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BU27" i="2" s="1" a="1"/>
  <c r="BU27" i="2" s="1"/>
  <c r="BV27" i="2" s="1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CQ26" i="2" s="1" a="1"/>
  <c r="CQ26" i="2" s="1"/>
  <c r="CR26" i="2" s="1"/>
  <c r="BU26" i="2" a="1"/>
  <c r="BU26" i="2" s="1"/>
  <c r="BV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CQ25" i="2" s="1" a="1"/>
  <c r="CQ25" i="2" s="1"/>
  <c r="CR25" i="2" s="1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BU25" i="2" s="1" a="1"/>
  <c r="BU25" i="2" s="1"/>
  <c r="BV25" i="2" s="1"/>
  <c r="G25" i="2"/>
  <c r="F25" i="2"/>
  <c r="DB24" i="2"/>
  <c r="DA24" i="2"/>
  <c r="CZ24" i="2"/>
  <c r="CY24" i="2"/>
  <c r="CX24" i="2"/>
  <c r="CW24" i="2"/>
  <c r="CV24" i="2"/>
  <c r="CU24" i="2"/>
  <c r="CT24" i="2"/>
  <c r="CS24" i="2"/>
  <c r="DC24" i="2" s="1" a="1"/>
  <c r="DC24" i="2" s="1"/>
  <c r="DD24" i="2" s="1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CQ24" i="2" s="1" a="1"/>
  <c r="CQ24" i="2" s="1"/>
  <c r="CR24" i="2" s="1"/>
  <c r="BY24" i="2"/>
  <c r="BX24" i="2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BU24" i="2" s="1" a="1"/>
  <c r="BU24" i="2" s="1"/>
  <c r="BV24" i="2" s="1"/>
  <c r="G24" i="2"/>
  <c r="F24" i="2"/>
  <c r="DC23" i="2" a="1"/>
  <c r="DC23" i="2" s="1"/>
  <c r="DD23" i="2" s="1"/>
  <c r="DB23" i="2"/>
  <c r="DA23" i="2"/>
  <c r="CZ23" i="2"/>
  <c r="CY23" i="2"/>
  <c r="CX23" i="2"/>
  <c r="CW23" i="2"/>
  <c r="CV23" i="2"/>
  <c r="CU23" i="2"/>
  <c r="CT23" i="2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CQ23" i="2" s="1" a="1"/>
  <c r="CQ23" i="2" s="1"/>
  <c r="CR23" i="2" s="1"/>
  <c r="BX23" i="2"/>
  <c r="BW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BU23" i="2" s="1" a="1"/>
  <c r="BU23" i="2" s="1"/>
  <c r="BV23" i="2" s="1"/>
  <c r="G23" i="2"/>
  <c r="F23" i="2"/>
  <c r="DB22" i="2"/>
  <c r="DA22" i="2"/>
  <c r="CZ22" i="2"/>
  <c r="CY22" i="2"/>
  <c r="CX22" i="2"/>
  <c r="CW22" i="2"/>
  <c r="CV22" i="2"/>
  <c r="CU22" i="2"/>
  <c r="DC22" i="2" s="1" a="1"/>
  <c r="DC22" i="2" s="1"/>
  <c r="DD22" i="2" s="1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CQ22" i="2" s="1" a="1"/>
  <c r="CQ22" i="2" s="1"/>
  <c r="CR22" i="2" s="1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DC21" i="2" s="1" a="1"/>
  <c r="DC21" i="2" s="1"/>
  <c r="DD21" i="2" s="1"/>
  <c r="CS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CQ21" i="2" s="1" a="1"/>
  <c r="CQ21" i="2" s="1"/>
  <c r="CR21" i="2" s="1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CS20" i="2"/>
  <c r="DC20" i="2" s="1" a="1"/>
  <c r="DC20" i="2" s="1"/>
  <c r="DD20" i="2" s="1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DC19" i="2" s="1" a="1"/>
  <c r="DC19" i="2" s="1"/>
  <c r="DD19" i="2" s="1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CQ19" i="2" s="1" a="1"/>
  <c r="CQ19" i="2" s="1"/>
  <c r="CR19" i="2" s="1"/>
  <c r="BU19" i="2" a="1"/>
  <c r="BU19" i="2" s="1"/>
  <c r="BV19" i="2" s="1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DB18" i="2"/>
  <c r="DA18" i="2"/>
  <c r="CZ18" i="2"/>
  <c r="CY18" i="2"/>
  <c r="CX18" i="2"/>
  <c r="CW18" i="2"/>
  <c r="CV18" i="2"/>
  <c r="CU18" i="2"/>
  <c r="CT18" i="2"/>
  <c r="CS18" i="2"/>
  <c r="DC18" i="2" s="1" a="1"/>
  <c r="DC18" i="2" s="1"/>
  <c r="DD18" i="2" s="1"/>
  <c r="CQ18" i="2" a="1"/>
  <c r="CQ18" i="2" s="1"/>
  <c r="CR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BU18" i="2" s="1" a="1"/>
  <c r="BU18" i="2" s="1"/>
  <c r="BV18" i="2" s="1"/>
  <c r="H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F14" i="5" l="1"/>
  <c r="DE19" i="2"/>
  <c r="F21" i="5"/>
  <c r="DE26" i="2"/>
  <c r="H45" i="5"/>
  <c r="DF50" i="2"/>
  <c r="F22" i="5"/>
  <c r="DE27" i="2"/>
  <c r="I30" i="5"/>
  <c r="DG35" i="2"/>
  <c r="H13" i="5"/>
  <c r="DF18" i="2"/>
  <c r="I13" i="5"/>
  <c r="DG18" i="2"/>
  <c r="H16" i="5"/>
  <c r="DF21" i="2"/>
  <c r="F17" i="5"/>
  <c r="DE22" i="2"/>
  <c r="I18" i="5"/>
  <c r="DG23" i="2"/>
  <c r="I19" i="5"/>
  <c r="DG24" i="2"/>
  <c r="H23" i="5"/>
  <c r="DF28" i="2"/>
  <c r="F24" i="5"/>
  <c r="DE29" i="2"/>
  <c r="I25" i="5"/>
  <c r="DG30" i="2"/>
  <c r="I26" i="5"/>
  <c r="DG31" i="2"/>
  <c r="F29" i="5"/>
  <c r="DE34" i="2"/>
  <c r="I31" i="5"/>
  <c r="DG36" i="2"/>
  <c r="H39" i="5"/>
  <c r="DF44" i="2"/>
  <c r="F45" i="5"/>
  <c r="DE50" i="2"/>
  <c r="DH50" i="2" s="1"/>
  <c r="DI50" i="2" s="1"/>
  <c r="J45" i="5" s="1"/>
  <c r="O45" i="5" s="1"/>
  <c r="Q45" i="5" s="1"/>
  <c r="I45" i="5"/>
  <c r="DG50" i="2"/>
  <c r="H49" i="5"/>
  <c r="DF54" i="2"/>
  <c r="F50" i="5"/>
  <c r="DE55" i="2"/>
  <c r="H52" i="5"/>
  <c r="DF57" i="2"/>
  <c r="F53" i="5"/>
  <c r="DE58" i="2"/>
  <c r="I53" i="5"/>
  <c r="DG58" i="2"/>
  <c r="F57" i="5"/>
  <c r="DE62" i="2"/>
  <c r="H59" i="5"/>
  <c r="DF64" i="2"/>
  <c r="H62" i="5"/>
  <c r="DF67" i="2"/>
  <c r="H66" i="5"/>
  <c r="DF71" i="2"/>
  <c r="F68" i="5"/>
  <c r="DE73" i="2"/>
  <c r="I69" i="5"/>
  <c r="DG74" i="2"/>
  <c r="H72" i="5"/>
  <c r="DF77" i="2"/>
  <c r="F81" i="5"/>
  <c r="DE86" i="2"/>
  <c r="F85" i="5"/>
  <c r="DE90" i="2"/>
  <c r="I95" i="5"/>
  <c r="DG100" i="2"/>
  <c r="K31" i="5"/>
  <c r="DE36" i="4"/>
  <c r="F30" i="5"/>
  <c r="DE35" i="2"/>
  <c r="DH35" i="2" s="1"/>
  <c r="DI35" i="2" s="1"/>
  <c r="J30" i="5" s="1"/>
  <c r="O30" i="5" s="1"/>
  <c r="F36" i="5"/>
  <c r="DE41" i="2"/>
  <c r="H41" i="5"/>
  <c r="DF46" i="2"/>
  <c r="F42" i="5"/>
  <c r="DE47" i="2"/>
  <c r="H44" i="5"/>
  <c r="DF49" i="2"/>
  <c r="H46" i="5"/>
  <c r="DF51" i="2"/>
  <c r="F47" i="5"/>
  <c r="DE52" i="2"/>
  <c r="I47" i="5"/>
  <c r="DG52" i="2"/>
  <c r="I50" i="5"/>
  <c r="DG55" i="2"/>
  <c r="F56" i="5"/>
  <c r="DE61" i="2"/>
  <c r="F60" i="5"/>
  <c r="DE65" i="2"/>
  <c r="F63" i="5"/>
  <c r="DE68" i="2"/>
  <c r="F67" i="5"/>
  <c r="DE72" i="2"/>
  <c r="DH72" i="2" s="1"/>
  <c r="DI72" i="2" s="1"/>
  <c r="J67" i="5" s="1"/>
  <c r="O67" i="5" s="1"/>
  <c r="Q67" i="5" s="1"/>
  <c r="H80" i="5"/>
  <c r="DF85" i="2"/>
  <c r="H84" i="5"/>
  <c r="DF89" i="2"/>
  <c r="I86" i="5"/>
  <c r="DG91" i="2"/>
  <c r="K14" i="5"/>
  <c r="DE19" i="4"/>
  <c r="DH19" i="4" s="1"/>
  <c r="DI19" i="4" s="1"/>
  <c r="N14" i="5" s="1"/>
  <c r="P14" i="5" s="1"/>
  <c r="M16" i="5"/>
  <c r="DG21" i="4"/>
  <c r="I29" i="5"/>
  <c r="DG34" i="2"/>
  <c r="I38" i="5"/>
  <c r="DG43" i="2"/>
  <c r="F48" i="5"/>
  <c r="DE53" i="2"/>
  <c r="H14" i="5"/>
  <c r="DF19" i="2"/>
  <c r="F25" i="5"/>
  <c r="DE30" i="2"/>
  <c r="H17" i="5"/>
  <c r="DF22" i="2"/>
  <c r="I20" i="5"/>
  <c r="DG25" i="2"/>
  <c r="I21" i="5"/>
  <c r="DG26" i="2"/>
  <c r="H24" i="5"/>
  <c r="DF29" i="2"/>
  <c r="I27" i="5"/>
  <c r="DG32" i="2"/>
  <c r="H28" i="5"/>
  <c r="DF33" i="2"/>
  <c r="H30" i="5"/>
  <c r="DF35" i="2"/>
  <c r="F31" i="5"/>
  <c r="DE36" i="2"/>
  <c r="DH36" i="2" s="1"/>
  <c r="DI36" i="2" s="1"/>
  <c r="J31" i="5" s="1"/>
  <c r="O31" i="5" s="1"/>
  <c r="I32" i="5"/>
  <c r="DG37" i="2"/>
  <c r="H34" i="5"/>
  <c r="DF39" i="2"/>
  <c r="I36" i="5"/>
  <c r="DG41" i="2"/>
  <c r="F39" i="5"/>
  <c r="DE44" i="2"/>
  <c r="DH44" i="2" s="1"/>
  <c r="DI44" i="2" s="1"/>
  <c r="J39" i="5" s="1"/>
  <c r="O39" i="5" s="1"/>
  <c r="Q39" i="5" s="1"/>
  <c r="I42" i="5"/>
  <c r="DG47" i="2"/>
  <c r="H51" i="5"/>
  <c r="DF56" i="2"/>
  <c r="F52" i="5"/>
  <c r="DE57" i="2"/>
  <c r="H55" i="5"/>
  <c r="DF60" i="2"/>
  <c r="I57" i="5"/>
  <c r="DG62" i="2"/>
  <c r="I60" i="5"/>
  <c r="DG65" i="2"/>
  <c r="I63" i="5"/>
  <c r="DG68" i="2"/>
  <c r="H65" i="5"/>
  <c r="DF70" i="2"/>
  <c r="F66" i="5"/>
  <c r="DE71" i="2"/>
  <c r="H71" i="5"/>
  <c r="DF76" i="2"/>
  <c r="F73" i="5"/>
  <c r="DE78" i="2"/>
  <c r="I73" i="5"/>
  <c r="DG78" i="2"/>
  <c r="I76" i="5"/>
  <c r="DG81" i="2"/>
  <c r="I85" i="5"/>
  <c r="DG90" i="2"/>
  <c r="I93" i="5"/>
  <c r="DG98" i="2"/>
  <c r="F105" i="5"/>
  <c r="DE110" i="2"/>
  <c r="I23" i="5"/>
  <c r="DG28" i="2"/>
  <c r="F18" i="5"/>
  <c r="DE23" i="2"/>
  <c r="H29" i="5"/>
  <c r="DF34" i="2"/>
  <c r="F13" i="5"/>
  <c r="DE18" i="2"/>
  <c r="DH18" i="2" s="1"/>
  <c r="DI18" i="2" s="1"/>
  <c r="J13" i="5" s="1"/>
  <c r="O13" i="5" s="1"/>
  <c r="I14" i="5"/>
  <c r="DG19" i="2"/>
  <c r="I15" i="5"/>
  <c r="DG20" i="2"/>
  <c r="F19" i="5"/>
  <c r="DE24" i="2"/>
  <c r="I22" i="5"/>
  <c r="DG27" i="2"/>
  <c r="F26" i="5"/>
  <c r="DE31" i="2"/>
  <c r="I28" i="5"/>
  <c r="DG33" i="2"/>
  <c r="H31" i="5"/>
  <c r="DF36" i="2"/>
  <c r="F32" i="5"/>
  <c r="DE37" i="2"/>
  <c r="DH37" i="2" s="1"/>
  <c r="DI37" i="2" s="1"/>
  <c r="J32" i="5" s="1"/>
  <c r="O32" i="5" s="1"/>
  <c r="I33" i="5"/>
  <c r="DG38" i="2"/>
  <c r="F38" i="5"/>
  <c r="DE43" i="2"/>
  <c r="DH43" i="2" s="1"/>
  <c r="DI43" i="2" s="1"/>
  <c r="J38" i="5" s="1"/>
  <c r="O38" i="5" s="1"/>
  <c r="Q38" i="5" s="1"/>
  <c r="I39" i="5"/>
  <c r="DG44" i="2"/>
  <c r="H43" i="5"/>
  <c r="DF48" i="2"/>
  <c r="F44" i="5"/>
  <c r="DE49" i="2"/>
  <c r="H48" i="5"/>
  <c r="DF53" i="2"/>
  <c r="F49" i="5"/>
  <c r="DE54" i="2"/>
  <c r="I52" i="5"/>
  <c r="DG57" i="2"/>
  <c r="H54" i="5"/>
  <c r="DF59" i="2"/>
  <c r="I56" i="5"/>
  <c r="DG61" i="2"/>
  <c r="F59" i="5"/>
  <c r="DE64" i="2"/>
  <c r="H61" i="5"/>
  <c r="DF66" i="2"/>
  <c r="F62" i="5"/>
  <c r="DE67" i="2"/>
  <c r="H64" i="5"/>
  <c r="DF69" i="2"/>
  <c r="H82" i="5"/>
  <c r="DF87" i="2"/>
  <c r="F89" i="5"/>
  <c r="DE94" i="2"/>
  <c r="F97" i="5"/>
  <c r="DE102" i="2"/>
  <c r="H112" i="5"/>
  <c r="DF117" i="2"/>
  <c r="DH117" i="2" s="1"/>
  <c r="DI117" i="2" s="1"/>
  <c r="J112" i="5" s="1"/>
  <c r="O112" i="5" s="1"/>
  <c r="Q112" i="5" s="1"/>
  <c r="M18" i="5"/>
  <c r="DG23" i="4"/>
  <c r="M34" i="5"/>
  <c r="DG39" i="4"/>
  <c r="F15" i="5"/>
  <c r="DE20" i="2"/>
  <c r="H20" i="5"/>
  <c r="DF25" i="2"/>
  <c r="H27" i="5"/>
  <c r="DF32" i="2"/>
  <c r="H18" i="5"/>
  <c r="DF23" i="2"/>
  <c r="F20" i="5"/>
  <c r="DE25" i="2"/>
  <c r="H25" i="5"/>
  <c r="DF30" i="2"/>
  <c r="F27" i="5"/>
  <c r="DE32" i="2"/>
  <c r="DH32" i="2" s="1"/>
  <c r="DI32" i="2" s="1"/>
  <c r="J27" i="5" s="1"/>
  <c r="O27" i="5" s="1"/>
  <c r="F33" i="5"/>
  <c r="DE38" i="2"/>
  <c r="DH38" i="2" s="1"/>
  <c r="DI38" i="2" s="1"/>
  <c r="J33" i="5" s="1"/>
  <c r="O33" i="5" s="1"/>
  <c r="H35" i="5"/>
  <c r="DF40" i="2"/>
  <c r="H37" i="5"/>
  <c r="DF42" i="2"/>
  <c r="H40" i="5"/>
  <c r="DF45" i="2"/>
  <c r="F41" i="5"/>
  <c r="DE46" i="2"/>
  <c r="DH46" i="2" s="1"/>
  <c r="DI46" i="2" s="1"/>
  <c r="J41" i="5" s="1"/>
  <c r="O41" i="5" s="1"/>
  <c r="Q41" i="5" s="1"/>
  <c r="I44" i="5"/>
  <c r="DG49" i="2"/>
  <c r="F46" i="5"/>
  <c r="DE51" i="2"/>
  <c r="DH51" i="2" s="1"/>
  <c r="DI51" i="2" s="1"/>
  <c r="J46" i="5" s="1"/>
  <c r="O46" i="5" s="1"/>
  <c r="Q46" i="5" s="1"/>
  <c r="I46" i="5"/>
  <c r="DG51" i="2"/>
  <c r="I49" i="5"/>
  <c r="DG54" i="2"/>
  <c r="H58" i="5"/>
  <c r="DF63" i="2"/>
  <c r="I59" i="5"/>
  <c r="DG64" i="2"/>
  <c r="I62" i="5"/>
  <c r="DG67" i="2"/>
  <c r="F65" i="5"/>
  <c r="DE70" i="2"/>
  <c r="H74" i="5"/>
  <c r="DF79" i="2"/>
  <c r="F80" i="5"/>
  <c r="DE85" i="2"/>
  <c r="DH85" i="2" s="1"/>
  <c r="DI85" i="2" s="1"/>
  <c r="J80" i="5" s="1"/>
  <c r="O80" i="5" s="1"/>
  <c r="Q80" i="5" s="1"/>
  <c r="I84" i="5"/>
  <c r="DG89" i="2"/>
  <c r="H87" i="5"/>
  <c r="DF92" i="2"/>
  <c r="F88" i="5"/>
  <c r="DE93" i="2"/>
  <c r="I97" i="5"/>
  <c r="DG102" i="2"/>
  <c r="L13" i="5"/>
  <c r="DF18" i="4"/>
  <c r="L22" i="5"/>
  <c r="DF27" i="4"/>
  <c r="H32" i="5"/>
  <c r="DF37" i="2"/>
  <c r="I41" i="5"/>
  <c r="DG46" i="2"/>
  <c r="F51" i="5"/>
  <c r="DE56" i="2"/>
  <c r="H53" i="5"/>
  <c r="DF58" i="2"/>
  <c r="I55" i="5"/>
  <c r="DG60" i="2"/>
  <c r="I71" i="5"/>
  <c r="DG76" i="2"/>
  <c r="F75" i="5"/>
  <c r="DE80" i="2"/>
  <c r="DH80" i="2" s="1"/>
  <c r="DI80" i="2" s="1"/>
  <c r="J75" i="5" s="1"/>
  <c r="O75" i="5" s="1"/>
  <c r="Q75" i="5" s="1"/>
  <c r="H81" i="5"/>
  <c r="DF86" i="2"/>
  <c r="M28" i="5"/>
  <c r="DG33" i="4"/>
  <c r="H21" i="5"/>
  <c r="DF26" i="2"/>
  <c r="F34" i="5"/>
  <c r="DE39" i="2"/>
  <c r="I34" i="5"/>
  <c r="DG39" i="2"/>
  <c r="F43" i="5"/>
  <c r="DE48" i="2"/>
  <c r="H47" i="5"/>
  <c r="DF52" i="2"/>
  <c r="I48" i="5"/>
  <c r="DG53" i="2"/>
  <c r="H50" i="5"/>
  <c r="DF55" i="2"/>
  <c r="I51" i="5"/>
  <c r="DG56" i="2"/>
  <c r="I54" i="5"/>
  <c r="DG59" i="2"/>
  <c r="H57" i="5"/>
  <c r="DF62" i="2"/>
  <c r="F58" i="5"/>
  <c r="DE63" i="2"/>
  <c r="DH63" i="2" s="1"/>
  <c r="DI63" i="2" s="1"/>
  <c r="J58" i="5" s="1"/>
  <c r="O58" i="5" s="1"/>
  <c r="Q58" i="5" s="1"/>
  <c r="F61" i="5"/>
  <c r="DE66" i="2"/>
  <c r="I61" i="5"/>
  <c r="DG66" i="2"/>
  <c r="F64" i="5"/>
  <c r="DE69" i="2"/>
  <c r="I65" i="5"/>
  <c r="DG70" i="2"/>
  <c r="H67" i="5"/>
  <c r="DF72" i="2"/>
  <c r="F69" i="5"/>
  <c r="DE74" i="2"/>
  <c r="DH74" i="2" s="1"/>
  <c r="DI74" i="2" s="1"/>
  <c r="J69" i="5" s="1"/>
  <c r="O69" i="5" s="1"/>
  <c r="Q69" i="5" s="1"/>
  <c r="F74" i="5"/>
  <c r="DE79" i="2"/>
  <c r="DH79" i="2" s="1"/>
  <c r="DI79" i="2" s="1"/>
  <c r="J74" i="5" s="1"/>
  <c r="O74" i="5" s="1"/>
  <c r="Q74" i="5" s="1"/>
  <c r="F77" i="5"/>
  <c r="DE82" i="2"/>
  <c r="DH82" i="2" s="1"/>
  <c r="DI82" i="2" s="1"/>
  <c r="J77" i="5" s="1"/>
  <c r="O77" i="5" s="1"/>
  <c r="Q77" i="5" s="1"/>
  <c r="F82" i="5"/>
  <c r="DE87" i="2"/>
  <c r="DH87" i="2" s="1"/>
  <c r="DI87" i="2" s="1"/>
  <c r="J82" i="5" s="1"/>
  <c r="O82" i="5" s="1"/>
  <c r="Q82" i="5" s="1"/>
  <c r="F83" i="5"/>
  <c r="DE88" i="2"/>
  <c r="H90" i="5"/>
  <c r="DF95" i="2"/>
  <c r="DH95" i="2" s="1"/>
  <c r="DI95" i="2" s="1"/>
  <c r="J90" i="5" s="1"/>
  <c r="O90" i="5" s="1"/>
  <c r="Q90" i="5" s="1"/>
  <c r="M19" i="5"/>
  <c r="DG24" i="4"/>
  <c r="I16" i="5"/>
  <c r="DG21" i="2"/>
  <c r="F28" i="5"/>
  <c r="DE33" i="2"/>
  <c r="DH33" i="2" s="1"/>
  <c r="DI33" i="2" s="1"/>
  <c r="J28" i="5" s="1"/>
  <c r="O28" i="5" s="1"/>
  <c r="H15" i="5"/>
  <c r="DF20" i="2"/>
  <c r="F16" i="5"/>
  <c r="DE21" i="2"/>
  <c r="DH21" i="2" s="1"/>
  <c r="DI21" i="2" s="1"/>
  <c r="J16" i="5" s="1"/>
  <c r="O16" i="5" s="1"/>
  <c r="I17" i="5"/>
  <c r="DG22" i="2"/>
  <c r="H19" i="5"/>
  <c r="DF24" i="2"/>
  <c r="H22" i="5"/>
  <c r="DF27" i="2"/>
  <c r="F23" i="5"/>
  <c r="DE28" i="2"/>
  <c r="DH28" i="2" s="1"/>
  <c r="DI28" i="2" s="1"/>
  <c r="J23" i="5" s="1"/>
  <c r="O23" i="5" s="1"/>
  <c r="I24" i="5"/>
  <c r="DG29" i="2"/>
  <c r="H26" i="5"/>
  <c r="DF31" i="2"/>
  <c r="H33" i="5"/>
  <c r="DF38" i="2"/>
  <c r="F35" i="5"/>
  <c r="DE40" i="2"/>
  <c r="DH40" i="2" s="1"/>
  <c r="DI40" i="2" s="1"/>
  <c r="J35" i="5" s="1"/>
  <c r="O35" i="5" s="1"/>
  <c r="Q35" i="5" s="1"/>
  <c r="I35" i="5"/>
  <c r="DG40" i="2"/>
  <c r="H36" i="5"/>
  <c r="DF41" i="2"/>
  <c r="F37" i="5"/>
  <c r="DE42" i="2"/>
  <c r="I37" i="5"/>
  <c r="DG42" i="2"/>
  <c r="F40" i="5"/>
  <c r="DE45" i="2"/>
  <c r="I40" i="5"/>
  <c r="DG45" i="2"/>
  <c r="H42" i="5"/>
  <c r="DF47" i="2"/>
  <c r="I43" i="5"/>
  <c r="DG48" i="2"/>
  <c r="H56" i="5"/>
  <c r="DF61" i="2"/>
  <c r="I58" i="5"/>
  <c r="DG63" i="2"/>
  <c r="H60" i="5"/>
  <c r="DF65" i="2"/>
  <c r="H63" i="5"/>
  <c r="DF68" i="2"/>
  <c r="I64" i="5"/>
  <c r="DG69" i="2"/>
  <c r="I70" i="5"/>
  <c r="DG75" i="2"/>
  <c r="H73" i="5"/>
  <c r="DF78" i="2"/>
  <c r="H76" i="5"/>
  <c r="DF81" i="2"/>
  <c r="I77" i="5"/>
  <c r="DG82" i="2"/>
  <c r="I87" i="5"/>
  <c r="DG92" i="2"/>
  <c r="M26" i="5"/>
  <c r="DG31" i="4"/>
  <c r="DH77" i="2"/>
  <c r="DI77" i="2" s="1"/>
  <c r="J72" i="5" s="1"/>
  <c r="O72" i="5" s="1"/>
  <c r="Q72" i="5" s="1"/>
  <c r="DH83" i="2"/>
  <c r="DI83" i="2" s="1"/>
  <c r="J78" i="5" s="1"/>
  <c r="O78" i="5" s="1"/>
  <c r="Q78" i="5" s="1"/>
  <c r="F91" i="5"/>
  <c r="DE96" i="2"/>
  <c r="I91" i="5"/>
  <c r="DG96" i="2"/>
  <c r="H96" i="5"/>
  <c r="DF101" i="2"/>
  <c r="I107" i="5"/>
  <c r="DG112" i="2"/>
  <c r="I108" i="5"/>
  <c r="DG113" i="2"/>
  <c r="I110" i="5"/>
  <c r="DG115" i="2"/>
  <c r="L17" i="5"/>
  <c r="DF22" i="4"/>
  <c r="L21" i="5"/>
  <c r="DF26" i="4"/>
  <c r="M27" i="5"/>
  <c r="DG32" i="4"/>
  <c r="M30" i="5"/>
  <c r="DG35" i="4"/>
  <c r="L35" i="5"/>
  <c r="DF40" i="4"/>
  <c r="M38" i="5"/>
  <c r="DG43" i="4"/>
  <c r="M45" i="5"/>
  <c r="DG50" i="4"/>
  <c r="L46" i="5"/>
  <c r="DF51" i="4"/>
  <c r="L53" i="5"/>
  <c r="DF58" i="4"/>
  <c r="M56" i="5"/>
  <c r="DG61" i="4"/>
  <c r="L57" i="5"/>
  <c r="DF62" i="4"/>
  <c r="M58" i="5"/>
  <c r="DG63" i="4"/>
  <c r="H77" i="5"/>
  <c r="DF82" i="2"/>
  <c r="I79" i="5"/>
  <c r="DG84" i="2"/>
  <c r="H88" i="5"/>
  <c r="DF93" i="2"/>
  <c r="DG97" i="2"/>
  <c r="F95" i="5"/>
  <c r="DE100" i="2"/>
  <c r="H98" i="5"/>
  <c r="DF103" i="2"/>
  <c r="H102" i="5"/>
  <c r="DF107" i="2"/>
  <c r="DH107" i="2" s="1"/>
  <c r="DI107" i="2" s="1"/>
  <c r="J102" i="5" s="1"/>
  <c r="O102" i="5" s="1"/>
  <c r="Q102" i="5" s="1"/>
  <c r="H104" i="5"/>
  <c r="DF109" i="2"/>
  <c r="H106" i="5"/>
  <c r="DF111" i="2"/>
  <c r="I109" i="5"/>
  <c r="DG114" i="2"/>
  <c r="BU21" i="4" a="1"/>
  <c r="BU21" i="4" s="1"/>
  <c r="BV21" i="4" s="1"/>
  <c r="K20" i="5"/>
  <c r="DE25" i="4"/>
  <c r="BU29" i="4" a="1"/>
  <c r="BU29" i="4" s="1"/>
  <c r="BV29" i="4" s="1"/>
  <c r="K28" i="5"/>
  <c r="DE33" i="4"/>
  <c r="L14" i="5"/>
  <c r="DF19" i="4"/>
  <c r="K15" i="5"/>
  <c r="DE20" i="4"/>
  <c r="L30" i="5"/>
  <c r="DF35" i="4"/>
  <c r="DG71" i="2"/>
  <c r="DG79" i="2"/>
  <c r="I75" i="5"/>
  <c r="DG80" i="2"/>
  <c r="F76" i="5"/>
  <c r="DE81" i="2"/>
  <c r="DF84" i="2"/>
  <c r="DH84" i="2" s="1"/>
  <c r="DI84" i="2" s="1"/>
  <c r="J79" i="5" s="1"/>
  <c r="O79" i="5" s="1"/>
  <c r="Q79" i="5" s="1"/>
  <c r="I83" i="5"/>
  <c r="DG88" i="2"/>
  <c r="F84" i="5"/>
  <c r="DE89" i="2"/>
  <c r="I94" i="5"/>
  <c r="DG99" i="2"/>
  <c r="K17" i="5"/>
  <c r="DE22" i="4"/>
  <c r="M25" i="5"/>
  <c r="DG30" i="4"/>
  <c r="DH91" i="2"/>
  <c r="DI91" i="2" s="1"/>
  <c r="J86" i="5" s="1"/>
  <c r="O86" i="5" s="1"/>
  <c r="Q86" i="5" s="1"/>
  <c r="F101" i="5"/>
  <c r="DE106" i="2"/>
  <c r="F106" i="5"/>
  <c r="DE111" i="2"/>
  <c r="DH111" i="2" s="1"/>
  <c r="DI111" i="2" s="1"/>
  <c r="J106" i="5" s="1"/>
  <c r="O106" i="5" s="1"/>
  <c r="Q106" i="5" s="1"/>
  <c r="L33" i="5"/>
  <c r="DF38" i="4"/>
  <c r="M40" i="5"/>
  <c r="DG45" i="4"/>
  <c r="L48" i="5"/>
  <c r="DF53" i="4"/>
  <c r="L77" i="5"/>
  <c r="DF82" i="4"/>
  <c r="DE60" i="2"/>
  <c r="DF73" i="2"/>
  <c r="H86" i="5"/>
  <c r="DF91" i="2"/>
  <c r="DE92" i="2"/>
  <c r="DE101" i="2"/>
  <c r="DH101" i="2" s="1"/>
  <c r="DI101" i="2" s="1"/>
  <c r="J96" i="5" s="1"/>
  <c r="O96" i="5" s="1"/>
  <c r="Q96" i="5" s="1"/>
  <c r="H99" i="5"/>
  <c r="DF104" i="2"/>
  <c r="I105" i="5"/>
  <c r="DG110" i="2"/>
  <c r="H110" i="5"/>
  <c r="DF115" i="2"/>
  <c r="DH115" i="2" s="1"/>
  <c r="DI115" i="2" s="1"/>
  <c r="J110" i="5" s="1"/>
  <c r="O110" i="5" s="1"/>
  <c r="Q110" i="5" s="1"/>
  <c r="DG19" i="4"/>
  <c r="M31" i="5"/>
  <c r="DG36" i="4"/>
  <c r="DE59" i="2"/>
  <c r="DG73" i="2"/>
  <c r="H70" i="5"/>
  <c r="DF75" i="2"/>
  <c r="DH75" i="2" s="1"/>
  <c r="DI75" i="2" s="1"/>
  <c r="J70" i="5" s="1"/>
  <c r="O70" i="5" s="1"/>
  <c r="Q70" i="5" s="1"/>
  <c r="DF80" i="2"/>
  <c r="DG85" i="2"/>
  <c r="DF88" i="2"/>
  <c r="I89" i="5"/>
  <c r="DG94" i="2"/>
  <c r="H92" i="5"/>
  <c r="DF97" i="2"/>
  <c r="DF100" i="2"/>
  <c r="DG101" i="2"/>
  <c r="DF102" i="2"/>
  <c r="F100" i="5"/>
  <c r="DE105" i="2"/>
  <c r="DH105" i="2" s="1"/>
  <c r="DI105" i="2" s="1"/>
  <c r="J100" i="5" s="1"/>
  <c r="O100" i="5" s="1"/>
  <c r="Q100" i="5" s="1"/>
  <c r="I100" i="5"/>
  <c r="DG105" i="2"/>
  <c r="I102" i="5"/>
  <c r="DG107" i="2"/>
  <c r="I103" i="5"/>
  <c r="DG108" i="2"/>
  <c r="DE109" i="2"/>
  <c r="DF110" i="2"/>
  <c r="H108" i="5"/>
  <c r="DF113" i="2"/>
  <c r="F109" i="5"/>
  <c r="DE114" i="2"/>
  <c r="F111" i="5"/>
  <c r="DE116" i="2"/>
  <c r="BU27" i="4" a="1"/>
  <c r="BU27" i="4" s="1"/>
  <c r="BV27" i="4" s="1"/>
  <c r="M13" i="5"/>
  <c r="DG18" i="4"/>
  <c r="CQ21" i="4" a="1"/>
  <c r="CQ21" i="4" s="1"/>
  <c r="CR21" i="4" s="1"/>
  <c r="M22" i="5"/>
  <c r="DG27" i="4"/>
  <c r="L29" i="5"/>
  <c r="DF34" i="4"/>
  <c r="DH26" i="4"/>
  <c r="DI26" i="4" s="1"/>
  <c r="N21" i="5" s="1"/>
  <c r="P21" i="5" s="1"/>
  <c r="L37" i="5"/>
  <c r="DF42" i="4"/>
  <c r="L50" i="5"/>
  <c r="DF55" i="4"/>
  <c r="M73" i="5"/>
  <c r="DG78" i="4"/>
  <c r="DF43" i="2"/>
  <c r="DE76" i="2"/>
  <c r="DH76" i="2" s="1"/>
  <c r="DI76" i="2" s="1"/>
  <c r="J71" i="5" s="1"/>
  <c r="O71" i="5" s="1"/>
  <c r="Q71" i="5" s="1"/>
  <c r="DF94" i="2"/>
  <c r="I101" i="5"/>
  <c r="DG106" i="2"/>
  <c r="DF108" i="2"/>
  <c r="F107" i="5"/>
  <c r="DE112" i="2"/>
  <c r="DH112" i="2" s="1"/>
  <c r="DI112" i="2" s="1"/>
  <c r="J107" i="5" s="1"/>
  <c r="O107" i="5" s="1"/>
  <c r="Q107" i="5" s="1"/>
  <c r="BU18" i="4" a="1"/>
  <c r="BU18" i="4" s="1"/>
  <c r="BV18" i="4" s="1"/>
  <c r="DC20" i="4" a="1"/>
  <c r="DC20" i="4" s="1"/>
  <c r="DD20" i="4" s="1"/>
  <c r="DC22" i="4" a="1"/>
  <c r="DC22" i="4" s="1"/>
  <c r="DD22" i="4" s="1"/>
  <c r="L23" i="5"/>
  <c r="DF28" i="4"/>
  <c r="H78" i="5"/>
  <c r="DF83" i="2"/>
  <c r="H100" i="5"/>
  <c r="DF105" i="2"/>
  <c r="F103" i="5"/>
  <c r="DE108" i="2"/>
  <c r="L15" i="5"/>
  <c r="DF20" i="4"/>
  <c r="L41" i="5"/>
  <c r="DF46" i="4"/>
  <c r="L72" i="5"/>
  <c r="DF77" i="4"/>
  <c r="L92" i="5"/>
  <c r="DF97" i="4"/>
  <c r="I78" i="5"/>
  <c r="DG83" i="2"/>
  <c r="F92" i="5"/>
  <c r="DE97" i="2"/>
  <c r="F93" i="5"/>
  <c r="DE98" i="2"/>
  <c r="H94" i="5"/>
  <c r="DF99" i="2"/>
  <c r="DH99" i="2" s="1"/>
  <c r="DI99" i="2" s="1"/>
  <c r="J94" i="5" s="1"/>
  <c r="O94" i="5" s="1"/>
  <c r="Q94" i="5" s="1"/>
  <c r="DE103" i="2"/>
  <c r="F99" i="5"/>
  <c r="DE104" i="2"/>
  <c r="I99" i="5"/>
  <c r="DG104" i="2"/>
  <c r="I111" i="5"/>
  <c r="DG116" i="2"/>
  <c r="K23" i="5"/>
  <c r="DE28" i="4"/>
  <c r="DC25" i="4" a="1"/>
  <c r="DC25" i="4" s="1"/>
  <c r="DD25" i="4" s="1"/>
  <c r="DF25" i="4"/>
  <c r="CQ33" i="4" a="1"/>
  <c r="CQ33" i="4" s="1"/>
  <c r="CR33" i="4" s="1"/>
  <c r="DE34" i="4"/>
  <c r="L31" i="5"/>
  <c r="DF36" i="4"/>
  <c r="K35" i="5"/>
  <c r="DE40" i="4"/>
  <c r="DH40" i="4" s="1"/>
  <c r="DI40" i="4" s="1"/>
  <c r="N35" i="5" s="1"/>
  <c r="P35" i="5" s="1"/>
  <c r="K39" i="5"/>
  <c r="DE44" i="4"/>
  <c r="K43" i="5"/>
  <c r="DE48" i="4"/>
  <c r="K47" i="5"/>
  <c r="DE52" i="4"/>
  <c r="DH52" i="4" s="1"/>
  <c r="DI52" i="4" s="1"/>
  <c r="N47" i="5" s="1"/>
  <c r="P47" i="5" s="1"/>
  <c r="K51" i="5"/>
  <c r="DE56" i="4"/>
  <c r="K55" i="5"/>
  <c r="DE60" i="4"/>
  <c r="K59" i="5"/>
  <c r="DE64" i="4"/>
  <c r="K63" i="5"/>
  <c r="DE68" i="4"/>
  <c r="K67" i="5"/>
  <c r="DE72" i="4"/>
  <c r="K71" i="5"/>
  <c r="DE76" i="4"/>
  <c r="K75" i="5"/>
  <c r="DE80" i="4"/>
  <c r="K79" i="5"/>
  <c r="DE84" i="4"/>
  <c r="DH84" i="4" s="1"/>
  <c r="DI84" i="4" s="1"/>
  <c r="N79" i="5" s="1"/>
  <c r="P79" i="5" s="1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DH100" i="4" s="1"/>
  <c r="DI100" i="4" s="1"/>
  <c r="N95" i="5" s="1"/>
  <c r="P95" i="5" s="1"/>
  <c r="K99" i="5"/>
  <c r="DE104" i="4"/>
  <c r="K103" i="5"/>
  <c r="DE108" i="4"/>
  <c r="DH108" i="4" s="1"/>
  <c r="DI108" i="4" s="1"/>
  <c r="N103" i="5" s="1"/>
  <c r="P103" i="5" s="1"/>
  <c r="K107" i="5"/>
  <c r="DE112" i="4"/>
  <c r="DH112" i="4" s="1"/>
  <c r="DI112" i="4" s="1"/>
  <c r="N107" i="5" s="1"/>
  <c r="P107" i="5" s="1"/>
  <c r="K111" i="5"/>
  <c r="DE116" i="4"/>
  <c r="DH116" i="4" s="1"/>
  <c r="DI116" i="4" s="1"/>
  <c r="N111" i="5" s="1"/>
  <c r="P111" i="5" s="1"/>
  <c r="CQ24" i="4" a="1"/>
  <c r="CQ24" i="4" s="1"/>
  <c r="CR24" i="4" s="1"/>
  <c r="CQ32" i="4" a="1"/>
  <c r="CQ32" i="4" s="1"/>
  <c r="CR32" i="4" s="1"/>
  <c r="M47" i="5"/>
  <c r="DG52" i="4"/>
  <c r="M49" i="5"/>
  <c r="DG54" i="4"/>
  <c r="M51" i="5"/>
  <c r="DG56" i="4"/>
  <c r="L52" i="5"/>
  <c r="DF57" i="4"/>
  <c r="L75" i="5"/>
  <c r="DF80" i="4"/>
  <c r="L101" i="5"/>
  <c r="DF106" i="4"/>
  <c r="BU37" i="4" a="1"/>
  <c r="BU37" i="4" s="1"/>
  <c r="BV37" i="4" s="1"/>
  <c r="K36" i="5"/>
  <c r="DE41" i="4"/>
  <c r="K40" i="5"/>
  <c r="DE45" i="4"/>
  <c r="K44" i="5"/>
  <c r="DE49" i="4"/>
  <c r="K48" i="5"/>
  <c r="DE53" i="4"/>
  <c r="K52" i="5"/>
  <c r="DE57" i="4"/>
  <c r="K56" i="5"/>
  <c r="DE61" i="4"/>
  <c r="K60" i="5"/>
  <c r="DE65" i="4"/>
  <c r="K64" i="5"/>
  <c r="DE69" i="4"/>
  <c r="K68" i="5"/>
  <c r="DE73" i="4"/>
  <c r="K72" i="5"/>
  <c r="DE77" i="4"/>
  <c r="K76" i="5"/>
  <c r="DE81" i="4"/>
  <c r="K80" i="5"/>
  <c r="DE85" i="4"/>
  <c r="DH85" i="4" s="1"/>
  <c r="DI85" i="4" s="1"/>
  <c r="N80" i="5" s="1"/>
  <c r="P80" i="5" s="1"/>
  <c r="K84" i="5"/>
  <c r="DE89" i="4"/>
  <c r="K88" i="5"/>
  <c r="DE93" i="4"/>
  <c r="K92" i="5"/>
  <c r="DE97" i="4"/>
  <c r="K96" i="5"/>
  <c r="DE101" i="4"/>
  <c r="K100" i="5"/>
  <c r="DE105" i="4"/>
  <c r="K104" i="5"/>
  <c r="DE109" i="4"/>
  <c r="K108" i="5"/>
  <c r="DE113" i="4"/>
  <c r="K112" i="5"/>
  <c r="DE117" i="4"/>
  <c r="CQ23" i="4" a="1"/>
  <c r="CQ23" i="4" s="1"/>
  <c r="CR23" i="4" s="1"/>
  <c r="CQ31" i="4" a="1"/>
  <c r="CQ31" i="4" s="1"/>
  <c r="CR31" i="4" s="1"/>
  <c r="DC37" i="4" a="1"/>
  <c r="DC37" i="4" s="1"/>
  <c r="DD37" i="4" s="1"/>
  <c r="L36" i="5"/>
  <c r="DF41" i="4"/>
  <c r="M42" i="5"/>
  <c r="DG47" i="4"/>
  <c r="L43" i="5"/>
  <c r="DF48" i="4"/>
  <c r="M46" i="5"/>
  <c r="DG51" i="4"/>
  <c r="M53" i="5"/>
  <c r="DG58" i="4"/>
  <c r="L54" i="5"/>
  <c r="DF59" i="4"/>
  <c r="M57" i="5"/>
  <c r="DG62" i="4"/>
  <c r="L67" i="5"/>
  <c r="DF72" i="4"/>
  <c r="M106" i="5"/>
  <c r="DG111" i="4"/>
  <c r="DF74" i="2"/>
  <c r="DF90" i="2"/>
  <c r="DF98" i="2"/>
  <c r="DF106" i="2"/>
  <c r="DE113" i="2"/>
  <c r="DF114" i="2"/>
  <c r="DG26" i="4"/>
  <c r="DC28" i="4" a="1"/>
  <c r="DC28" i="4" s="1"/>
  <c r="DD28" i="4" s="1"/>
  <c r="DC29" i="4" a="1"/>
  <c r="DC29" i="4" s="1"/>
  <c r="DD29" i="4" s="1"/>
  <c r="DG34" i="4"/>
  <c r="M55" i="5"/>
  <c r="DG60" i="4"/>
  <c r="L64" i="5"/>
  <c r="DF69" i="4"/>
  <c r="M65" i="5"/>
  <c r="DG70" i="4"/>
  <c r="L69" i="5"/>
  <c r="DF74" i="4"/>
  <c r="BU30" i="4" a="1"/>
  <c r="BU30" i="4" s="1"/>
  <c r="BV30" i="4" s="1"/>
  <c r="K33" i="5"/>
  <c r="DE38" i="4"/>
  <c r="K37" i="5"/>
  <c r="DE42" i="4"/>
  <c r="K41" i="5"/>
  <c r="DE46" i="4"/>
  <c r="K45" i="5"/>
  <c r="DE50" i="4"/>
  <c r="DH50" i="4" s="1"/>
  <c r="DI50" i="4" s="1"/>
  <c r="N45" i="5" s="1"/>
  <c r="P45" i="5" s="1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DH78" i="4" s="1"/>
  <c r="DI78" i="4" s="1"/>
  <c r="N73" i="5" s="1"/>
  <c r="P73" i="5" s="1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DH98" i="4" s="1"/>
  <c r="DI98" i="4" s="1"/>
  <c r="N93" i="5" s="1"/>
  <c r="P93" i="5" s="1"/>
  <c r="K97" i="5"/>
  <c r="DE102" i="4"/>
  <c r="K101" i="5"/>
  <c r="DE106" i="4"/>
  <c r="K105" i="5"/>
  <c r="DE110" i="4"/>
  <c r="K109" i="5"/>
  <c r="DE114" i="4"/>
  <c r="DH114" i="4" s="1"/>
  <c r="DI114" i="4" s="1"/>
  <c r="N109" i="5" s="1"/>
  <c r="P109" i="5" s="1"/>
  <c r="L34" i="5"/>
  <c r="DF39" i="4"/>
  <c r="M35" i="5"/>
  <c r="DG40" i="4"/>
  <c r="M37" i="5"/>
  <c r="DG42" i="4"/>
  <c r="L38" i="5"/>
  <c r="DF43" i="4"/>
  <c r="L45" i="5"/>
  <c r="DF50" i="4"/>
  <c r="M48" i="5"/>
  <c r="DG53" i="4"/>
  <c r="L49" i="5"/>
  <c r="DF54" i="4"/>
  <c r="L56" i="5"/>
  <c r="DF61" i="4"/>
  <c r="L93" i="5"/>
  <c r="DF98" i="4"/>
  <c r="DF112" i="2"/>
  <c r="CQ30" i="4" a="1"/>
  <c r="CQ30" i="4" s="1"/>
  <c r="CR30" i="4" s="1"/>
  <c r="M39" i="5"/>
  <c r="DG44" i="4"/>
  <c r="M41" i="5"/>
  <c r="DG46" i="4"/>
  <c r="M43" i="5"/>
  <c r="DG48" i="4"/>
  <c r="L44" i="5"/>
  <c r="DF49" i="4"/>
  <c r="M50" i="5"/>
  <c r="DG55" i="4"/>
  <c r="L51" i="5"/>
  <c r="DF56" i="4"/>
  <c r="M54" i="5"/>
  <c r="DG59" i="4"/>
  <c r="M88" i="5"/>
  <c r="DG93" i="4"/>
  <c r="M90" i="5"/>
  <c r="DG95" i="4"/>
  <c r="L91" i="5"/>
  <c r="DF96" i="4"/>
  <c r="BU23" i="4" a="1"/>
  <c r="BU23" i="4" s="1"/>
  <c r="BV23" i="4" s="1"/>
  <c r="BU31" i="4" a="1"/>
  <c r="BU31" i="4" s="1"/>
  <c r="BV31" i="4" s="1"/>
  <c r="BU35" i="4" a="1"/>
  <c r="BU35" i="4" s="1"/>
  <c r="BV35" i="4" s="1"/>
  <c r="BU39" i="4" a="1"/>
  <c r="BU39" i="4" s="1"/>
  <c r="BV39" i="4" s="1"/>
  <c r="K38" i="5"/>
  <c r="DE43" i="4"/>
  <c r="K42" i="5"/>
  <c r="DE47" i="4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K78" i="5"/>
  <c r="DE83" i="4"/>
  <c r="K82" i="5"/>
  <c r="DE87" i="4"/>
  <c r="K86" i="5"/>
  <c r="DE91" i="4"/>
  <c r="K90" i="5"/>
  <c r="DE95" i="4"/>
  <c r="DH95" i="4" s="1"/>
  <c r="DI95" i="4" s="1"/>
  <c r="N90" i="5" s="1"/>
  <c r="P90" i="5" s="1"/>
  <c r="K94" i="5"/>
  <c r="DE99" i="4"/>
  <c r="K98" i="5"/>
  <c r="DE103" i="4"/>
  <c r="K102" i="5"/>
  <c r="DE107" i="4"/>
  <c r="K106" i="5"/>
  <c r="DE111" i="4"/>
  <c r="K110" i="5"/>
  <c r="DE115" i="4"/>
  <c r="CQ29" i="4" a="1"/>
  <c r="CQ29" i="4" s="1"/>
  <c r="CR29" i="4" s="1"/>
  <c r="CQ37" i="4" a="1"/>
  <c r="CQ37" i="4" s="1"/>
  <c r="CR37" i="4" s="1"/>
  <c r="DC38" i="4" a="1"/>
  <c r="DC38" i="4" s="1"/>
  <c r="DD38" i="4" s="1"/>
  <c r="L40" i="5"/>
  <c r="DF45" i="4"/>
  <c r="L42" i="5"/>
  <c r="DF47" i="4"/>
  <c r="M62" i="5"/>
  <c r="DG67" i="4"/>
  <c r="M70" i="5"/>
  <c r="DG75" i="4"/>
  <c r="M78" i="5"/>
  <c r="DG83" i="4"/>
  <c r="M81" i="5"/>
  <c r="DG86" i="4"/>
  <c r="DF88" i="4"/>
  <c r="DF92" i="4"/>
  <c r="L97" i="5"/>
  <c r="DF102" i="4"/>
  <c r="M98" i="5"/>
  <c r="DG103" i="4"/>
  <c r="L108" i="5"/>
  <c r="DF113" i="4"/>
  <c r="M109" i="5"/>
  <c r="DG114" i="4"/>
  <c r="L110" i="5"/>
  <c r="DF115" i="4"/>
  <c r="L58" i="5"/>
  <c r="DF63" i="4"/>
  <c r="M59" i="5"/>
  <c r="DG64" i="4"/>
  <c r="M63" i="5"/>
  <c r="DG68" i="4"/>
  <c r="M71" i="5"/>
  <c r="DG76" i="4"/>
  <c r="M79" i="5"/>
  <c r="DG84" i="4"/>
  <c r="L82" i="5"/>
  <c r="DF87" i="4"/>
  <c r="L94" i="5"/>
  <c r="DF99" i="4"/>
  <c r="L99" i="5"/>
  <c r="DF104" i="4"/>
  <c r="M102" i="5"/>
  <c r="DG107" i="4"/>
  <c r="DG66" i="4"/>
  <c r="DF68" i="4"/>
  <c r="DG74" i="4"/>
  <c r="DF76" i="4"/>
  <c r="DG82" i="4"/>
  <c r="DF84" i="4"/>
  <c r="L89" i="5"/>
  <c r="DF94" i="4"/>
  <c r="L96" i="5"/>
  <c r="DF101" i="4"/>
  <c r="L105" i="5"/>
  <c r="DF110" i="4"/>
  <c r="M112" i="5"/>
  <c r="DG117" i="4"/>
  <c r="DF64" i="4"/>
  <c r="L85" i="5"/>
  <c r="DF90" i="4"/>
  <c r="L86" i="5"/>
  <c r="DF91" i="4"/>
  <c r="M91" i="5"/>
  <c r="DG96" i="4"/>
  <c r="M97" i="5"/>
  <c r="DG102" i="4"/>
  <c r="M100" i="5"/>
  <c r="DG105" i="4"/>
  <c r="L107" i="5"/>
  <c r="DF112" i="4"/>
  <c r="M108" i="5"/>
  <c r="DG113" i="4"/>
  <c r="L109" i="5"/>
  <c r="DF114" i="4"/>
  <c r="L62" i="5"/>
  <c r="DF67" i="4"/>
  <c r="DG69" i="4"/>
  <c r="M67" i="5"/>
  <c r="DG72" i="4"/>
  <c r="L70" i="5"/>
  <c r="DF75" i="4"/>
  <c r="DG77" i="4"/>
  <c r="M75" i="5"/>
  <c r="DG80" i="4"/>
  <c r="L78" i="5"/>
  <c r="DF83" i="4"/>
  <c r="L81" i="5"/>
  <c r="DF86" i="4"/>
  <c r="L88" i="5"/>
  <c r="DF93" i="4"/>
  <c r="M95" i="5"/>
  <c r="DG100" i="4"/>
  <c r="L98" i="5"/>
  <c r="DF103" i="4"/>
  <c r="DF105" i="4"/>
  <c r="DG106" i="4"/>
  <c r="L104" i="5"/>
  <c r="DF109" i="4"/>
  <c r="M110" i="5"/>
  <c r="DG115" i="4"/>
  <c r="L111" i="5"/>
  <c r="DF116" i="4"/>
  <c r="DF65" i="4"/>
  <c r="DG71" i="4"/>
  <c r="DG79" i="4"/>
  <c r="M83" i="5"/>
  <c r="DG88" i="4"/>
  <c r="M94" i="5"/>
  <c r="DG99" i="4"/>
  <c r="M99" i="5"/>
  <c r="DG104" i="4"/>
  <c r="L102" i="5"/>
  <c r="DF107" i="4"/>
  <c r="M105" i="5"/>
  <c r="DG110" i="4"/>
  <c r="DG65" i="4"/>
  <c r="L80" i="5"/>
  <c r="DF85" i="4"/>
  <c r="M82" i="5"/>
  <c r="DG87" i="4"/>
  <c r="M87" i="5"/>
  <c r="DG92" i="4"/>
  <c r="M89" i="5"/>
  <c r="DG94" i="4"/>
  <c r="DG97" i="4"/>
  <c r="DF100" i="4"/>
  <c r="L106" i="5"/>
  <c r="DF111" i="4"/>
  <c r="DF44" i="4"/>
  <c r="DF52" i="4"/>
  <c r="DF60" i="4"/>
  <c r="L66" i="5"/>
  <c r="DF71" i="4"/>
  <c r="DF73" i="4"/>
  <c r="L74" i="5"/>
  <c r="DF79" i="4"/>
  <c r="DF81" i="4"/>
  <c r="DF89" i="4"/>
  <c r="M86" i="5"/>
  <c r="DG91" i="4"/>
  <c r="L90" i="5"/>
  <c r="DF95" i="4"/>
  <c r="M103" i="5"/>
  <c r="DG108" i="4"/>
  <c r="M107" i="5"/>
  <c r="DG112" i="4"/>
  <c r="M111" i="5"/>
  <c r="DG116" i="4"/>
  <c r="L112" i="5"/>
  <c r="DF117" i="4"/>
  <c r="DH76" i="4" l="1"/>
  <c r="DI76" i="4" s="1"/>
  <c r="N71" i="5" s="1"/>
  <c r="P71" i="5" s="1"/>
  <c r="DH103" i="2"/>
  <c r="DI103" i="2" s="1"/>
  <c r="J98" i="5" s="1"/>
  <c r="O98" i="5" s="1"/>
  <c r="Q98" i="5" s="1"/>
  <c r="DH66" i="2"/>
  <c r="DI66" i="2" s="1"/>
  <c r="J61" i="5" s="1"/>
  <c r="O61" i="5" s="1"/>
  <c r="Q61" i="5" s="1"/>
  <c r="DH48" i="2"/>
  <c r="DI48" i="2" s="1"/>
  <c r="J43" i="5" s="1"/>
  <c r="O43" i="5" s="1"/>
  <c r="Q43" i="5" s="1"/>
  <c r="DH93" i="2"/>
  <c r="DI93" i="2" s="1"/>
  <c r="J88" i="5" s="1"/>
  <c r="O88" i="5" s="1"/>
  <c r="Q88" i="5" s="1"/>
  <c r="DH25" i="2"/>
  <c r="DI25" i="2" s="1"/>
  <c r="J20" i="5" s="1"/>
  <c r="O20" i="5" s="1"/>
  <c r="DH20" i="2"/>
  <c r="DI20" i="2" s="1"/>
  <c r="J15" i="5" s="1"/>
  <c r="O15" i="5" s="1"/>
  <c r="DH102" i="2"/>
  <c r="DI102" i="2" s="1"/>
  <c r="J97" i="5" s="1"/>
  <c r="O97" i="5" s="1"/>
  <c r="Q97" i="5" s="1"/>
  <c r="DH67" i="2"/>
  <c r="DI67" i="2" s="1"/>
  <c r="J62" i="5" s="1"/>
  <c r="O62" i="5" s="1"/>
  <c r="Q62" i="5" s="1"/>
  <c r="DH49" i="2"/>
  <c r="DI49" i="2" s="1"/>
  <c r="J44" i="5" s="1"/>
  <c r="O44" i="5" s="1"/>
  <c r="Q44" i="5" s="1"/>
  <c r="DH31" i="2"/>
  <c r="DI31" i="2" s="1"/>
  <c r="J26" i="5" s="1"/>
  <c r="O26" i="5" s="1"/>
  <c r="DH71" i="2"/>
  <c r="DI71" i="2" s="1"/>
  <c r="J66" i="5" s="1"/>
  <c r="O66" i="5" s="1"/>
  <c r="Q66" i="5" s="1"/>
  <c r="DH68" i="2"/>
  <c r="DI68" i="2" s="1"/>
  <c r="J63" i="5" s="1"/>
  <c r="O63" i="5" s="1"/>
  <c r="Q63" i="5" s="1"/>
  <c r="DH47" i="2"/>
  <c r="DI47" i="2" s="1"/>
  <c r="J42" i="5" s="1"/>
  <c r="O42" i="5" s="1"/>
  <c r="Q42" i="5" s="1"/>
  <c r="DH36" i="4"/>
  <c r="DI36" i="4" s="1"/>
  <c r="N31" i="5" s="1"/>
  <c r="P31" i="5" s="1"/>
  <c r="DH58" i="2"/>
  <c r="DI58" i="2" s="1"/>
  <c r="J53" i="5" s="1"/>
  <c r="O53" i="5" s="1"/>
  <c r="Q53" i="5" s="1"/>
  <c r="DH34" i="2"/>
  <c r="DI34" i="2" s="1"/>
  <c r="J29" i="5" s="1"/>
  <c r="O29" i="5" s="1"/>
  <c r="DH27" i="2"/>
  <c r="DI27" i="2" s="1"/>
  <c r="J22" i="5" s="1"/>
  <c r="O22" i="5" s="1"/>
  <c r="M33" i="5"/>
  <c r="DG38" i="4"/>
  <c r="DH38" i="4" s="1"/>
  <c r="DI38" i="4" s="1"/>
  <c r="N33" i="5" s="1"/>
  <c r="P33" i="5" s="1"/>
  <c r="Q33" i="5" s="1"/>
  <c r="DH60" i="4"/>
  <c r="DI60" i="4" s="1"/>
  <c r="N55" i="5" s="1"/>
  <c r="P55" i="5" s="1"/>
  <c r="DH92" i="2"/>
  <c r="DI92" i="2" s="1"/>
  <c r="J87" i="5" s="1"/>
  <c r="O87" i="5" s="1"/>
  <c r="Q87" i="5" s="1"/>
  <c r="DH88" i="2"/>
  <c r="DI88" i="2" s="1"/>
  <c r="J83" i="5" s="1"/>
  <c r="O83" i="5" s="1"/>
  <c r="Q83" i="5" s="1"/>
  <c r="DH23" i="2"/>
  <c r="DI23" i="2" s="1"/>
  <c r="J18" i="5" s="1"/>
  <c r="O18" i="5" s="1"/>
  <c r="DH53" i="2"/>
  <c r="DI53" i="2" s="1"/>
  <c r="J48" i="5" s="1"/>
  <c r="O48" i="5" s="1"/>
  <c r="Q48" i="5" s="1"/>
  <c r="L24" i="5"/>
  <c r="DF29" i="4"/>
  <c r="K30" i="5"/>
  <c r="DE35" i="4"/>
  <c r="DH35" i="4" s="1"/>
  <c r="DI35" i="4" s="1"/>
  <c r="N30" i="5" s="1"/>
  <c r="P30" i="5" s="1"/>
  <c r="M32" i="5"/>
  <c r="DG37" i="4"/>
  <c r="L27" i="5"/>
  <c r="DF32" i="4"/>
  <c r="DH32" i="4" s="1"/>
  <c r="DI32" i="4" s="1"/>
  <c r="N27" i="5" s="1"/>
  <c r="P27" i="5" s="1"/>
  <c r="DH104" i="4"/>
  <c r="DI104" i="4" s="1"/>
  <c r="N99" i="5" s="1"/>
  <c r="P99" i="5" s="1"/>
  <c r="DH88" i="4"/>
  <c r="DI88" i="4" s="1"/>
  <c r="N83" i="5" s="1"/>
  <c r="P83" i="5" s="1"/>
  <c r="DH72" i="4"/>
  <c r="DI72" i="4" s="1"/>
  <c r="N67" i="5" s="1"/>
  <c r="P67" i="5" s="1"/>
  <c r="DH56" i="4"/>
  <c r="DI56" i="4" s="1"/>
  <c r="N51" i="5" s="1"/>
  <c r="P51" i="5" s="1"/>
  <c r="L16" i="5"/>
  <c r="DF21" i="4"/>
  <c r="DH89" i="2"/>
  <c r="DI89" i="2" s="1"/>
  <c r="J84" i="5" s="1"/>
  <c r="O84" i="5" s="1"/>
  <c r="Q84" i="5" s="1"/>
  <c r="DH45" i="2"/>
  <c r="DI45" i="2" s="1"/>
  <c r="J40" i="5" s="1"/>
  <c r="O40" i="5" s="1"/>
  <c r="Q40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K26" i="5"/>
  <c r="DE31" i="4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3" i="2"/>
  <c r="DI113" i="2" s="1"/>
  <c r="J108" i="5" s="1"/>
  <c r="O108" i="5" s="1"/>
  <c r="Q108" i="5" s="1"/>
  <c r="L26" i="5"/>
  <c r="DF31" i="4"/>
  <c r="DH105" i="4"/>
  <c r="DI105" i="4" s="1"/>
  <c r="N100" i="5" s="1"/>
  <c r="P100" i="5" s="1"/>
  <c r="DH89" i="4"/>
  <c r="DI89" i="4" s="1"/>
  <c r="N84" i="5" s="1"/>
  <c r="P84" i="5" s="1"/>
  <c r="DH73" i="4"/>
  <c r="DI73" i="4" s="1"/>
  <c r="N68" i="5" s="1"/>
  <c r="P68" i="5" s="1"/>
  <c r="DH57" i="4"/>
  <c r="DI57" i="4" s="1"/>
  <c r="N52" i="5" s="1"/>
  <c r="P52" i="5" s="1"/>
  <c r="DH41" i="4"/>
  <c r="DI41" i="4" s="1"/>
  <c r="N36" i="5" s="1"/>
  <c r="P36" i="5" s="1"/>
  <c r="L19" i="5"/>
  <c r="DF24" i="4"/>
  <c r="DH24" i="4" s="1"/>
  <c r="DI24" i="4" s="1"/>
  <c r="N19" i="5" s="1"/>
  <c r="P19" i="5" s="1"/>
  <c r="DH108" i="2"/>
  <c r="DI108" i="2" s="1"/>
  <c r="J103" i="5" s="1"/>
  <c r="O103" i="5" s="1"/>
  <c r="Q103" i="5" s="1"/>
  <c r="M17" i="5"/>
  <c r="DG22" i="4"/>
  <c r="DH59" i="2"/>
  <c r="DI59" i="2" s="1"/>
  <c r="J54" i="5" s="1"/>
  <c r="O54" i="5" s="1"/>
  <c r="Q54" i="5" s="1"/>
  <c r="M15" i="5"/>
  <c r="DG20" i="4"/>
  <c r="DH20" i="4" s="1"/>
  <c r="DI20" i="4" s="1"/>
  <c r="N15" i="5" s="1"/>
  <c r="P15" i="5" s="1"/>
  <c r="Q31" i="5"/>
  <c r="DH30" i="2"/>
  <c r="DI30" i="2" s="1"/>
  <c r="J25" i="5" s="1"/>
  <c r="O25" i="5" s="1"/>
  <c r="DH65" i="2"/>
  <c r="DI65" i="2" s="1"/>
  <c r="J60" i="5" s="1"/>
  <c r="O60" i="5" s="1"/>
  <c r="Q60" i="5" s="1"/>
  <c r="DH52" i="2"/>
  <c r="DI52" i="2" s="1"/>
  <c r="J47" i="5" s="1"/>
  <c r="O47" i="5" s="1"/>
  <c r="Q47" i="5" s="1"/>
  <c r="L18" i="5"/>
  <c r="DF23" i="4"/>
  <c r="DH94" i="2"/>
  <c r="DI94" i="2" s="1"/>
  <c r="J89" i="5" s="1"/>
  <c r="O89" i="5" s="1"/>
  <c r="Q89" i="5" s="1"/>
  <c r="K22" i="5"/>
  <c r="DE27" i="4"/>
  <c r="DH27" i="4" s="1"/>
  <c r="DI27" i="4" s="1"/>
  <c r="N22" i="5" s="1"/>
  <c r="P22" i="5" s="1"/>
  <c r="DH109" i="2"/>
  <c r="DI109" i="2" s="1"/>
  <c r="J104" i="5" s="1"/>
  <c r="O104" i="5" s="1"/>
  <c r="Q104" i="5" s="1"/>
  <c r="DH60" i="2"/>
  <c r="DI60" i="2" s="1"/>
  <c r="J55" i="5" s="1"/>
  <c r="O55" i="5" s="1"/>
  <c r="Q55" i="5" s="1"/>
  <c r="DH70" i="2"/>
  <c r="DI70" i="2" s="1"/>
  <c r="J65" i="5" s="1"/>
  <c r="O65" i="5" s="1"/>
  <c r="Q65" i="5" s="1"/>
  <c r="Q27" i="5"/>
  <c r="DH64" i="2"/>
  <c r="DI64" i="2" s="1"/>
  <c r="J59" i="5" s="1"/>
  <c r="O59" i="5" s="1"/>
  <c r="Q59" i="5" s="1"/>
  <c r="DH54" i="2"/>
  <c r="DI54" i="2" s="1"/>
  <c r="J49" i="5" s="1"/>
  <c r="O49" i="5" s="1"/>
  <c r="Q49" i="5" s="1"/>
  <c r="DH24" i="2"/>
  <c r="DI24" i="2" s="1"/>
  <c r="J19" i="5" s="1"/>
  <c r="O19" i="5" s="1"/>
  <c r="Q19" i="5" s="1"/>
  <c r="DH78" i="2"/>
  <c r="DI78" i="2" s="1"/>
  <c r="J73" i="5" s="1"/>
  <c r="O73" i="5" s="1"/>
  <c r="Q73" i="5" s="1"/>
  <c r="DH57" i="2"/>
  <c r="DI57" i="2" s="1"/>
  <c r="J52" i="5" s="1"/>
  <c r="O52" i="5" s="1"/>
  <c r="Q52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DH90" i="2"/>
  <c r="DI90" i="2" s="1"/>
  <c r="J85" i="5" s="1"/>
  <c r="O85" i="5" s="1"/>
  <c r="Q85" i="5" s="1"/>
  <c r="DH73" i="2"/>
  <c r="DI73" i="2" s="1"/>
  <c r="J68" i="5" s="1"/>
  <c r="O68" i="5" s="1"/>
  <c r="Q68" i="5" s="1"/>
  <c r="DH62" i="2"/>
  <c r="DI62" i="2" s="1"/>
  <c r="J57" i="5" s="1"/>
  <c r="O57" i="5" s="1"/>
  <c r="Q57" i="5" s="1"/>
  <c r="DH55" i="2"/>
  <c r="DI55" i="2" s="1"/>
  <c r="J50" i="5" s="1"/>
  <c r="O50" i="5" s="1"/>
  <c r="Q50" i="5" s="1"/>
  <c r="DH26" i="2"/>
  <c r="DI26" i="2" s="1"/>
  <c r="J21" i="5" s="1"/>
  <c r="O21" i="5" s="1"/>
  <c r="Q21" i="5" s="1"/>
  <c r="DH110" i="2"/>
  <c r="DI110" i="2" s="1"/>
  <c r="J105" i="5" s="1"/>
  <c r="O105" i="5" s="1"/>
  <c r="Q105" i="5" s="1"/>
  <c r="DH111" i="4"/>
  <c r="DI111" i="4" s="1"/>
  <c r="N106" i="5" s="1"/>
  <c r="P106" i="5" s="1"/>
  <c r="DH79" i="4"/>
  <c r="DI79" i="4" s="1"/>
  <c r="N74" i="5" s="1"/>
  <c r="P74" i="5" s="1"/>
  <c r="DH47" i="4"/>
  <c r="DI47" i="4" s="1"/>
  <c r="N42" i="5" s="1"/>
  <c r="P42" i="5" s="1"/>
  <c r="DH66" i="4"/>
  <c r="DI66" i="4" s="1"/>
  <c r="N61" i="5" s="1"/>
  <c r="P61" i="5" s="1"/>
  <c r="K25" i="5"/>
  <c r="DE30" i="4"/>
  <c r="DH117" i="4"/>
  <c r="DI117" i="4" s="1"/>
  <c r="N112" i="5" s="1"/>
  <c r="P112" i="5" s="1"/>
  <c r="DH101" i="4"/>
  <c r="DI101" i="4" s="1"/>
  <c r="N96" i="5" s="1"/>
  <c r="P96" i="5" s="1"/>
  <c r="DH69" i="4"/>
  <c r="DI69" i="4" s="1"/>
  <c r="N64" i="5" s="1"/>
  <c r="P64" i="5" s="1"/>
  <c r="DH53" i="4"/>
  <c r="DI53" i="4" s="1"/>
  <c r="N48" i="5" s="1"/>
  <c r="P48" i="5" s="1"/>
  <c r="K32" i="5"/>
  <c r="DE37" i="4"/>
  <c r="DH98" i="2"/>
  <c r="DI98" i="2" s="1"/>
  <c r="J93" i="5" s="1"/>
  <c r="O93" i="5" s="1"/>
  <c r="Q93" i="5" s="1"/>
  <c r="K13" i="5"/>
  <c r="DE18" i="4"/>
  <c r="DH18" i="4" s="1"/>
  <c r="DI18" i="4" s="1"/>
  <c r="N13" i="5" s="1"/>
  <c r="P13" i="5" s="1"/>
  <c r="Q13" i="5" s="1"/>
  <c r="DH96" i="4"/>
  <c r="DI96" i="4" s="1"/>
  <c r="N91" i="5" s="1"/>
  <c r="P91" i="5" s="1"/>
  <c r="DH80" i="4"/>
  <c r="DI80" i="4" s="1"/>
  <c r="N75" i="5" s="1"/>
  <c r="P75" i="5" s="1"/>
  <c r="DH64" i="4"/>
  <c r="DI64" i="4" s="1"/>
  <c r="N59" i="5" s="1"/>
  <c r="P59" i="5" s="1"/>
  <c r="DH48" i="4"/>
  <c r="DI48" i="4" s="1"/>
  <c r="N43" i="5" s="1"/>
  <c r="P43" i="5" s="1"/>
  <c r="DH34" i="4"/>
  <c r="DI34" i="4" s="1"/>
  <c r="N29" i="5" s="1"/>
  <c r="P29" i="5" s="1"/>
  <c r="DH116" i="2"/>
  <c r="DI116" i="2" s="1"/>
  <c r="J111" i="5" s="1"/>
  <c r="O111" i="5" s="1"/>
  <c r="Q111" i="5" s="1"/>
  <c r="DH22" i="4"/>
  <c r="DI22" i="4" s="1"/>
  <c r="N17" i="5" s="1"/>
  <c r="P17" i="5" s="1"/>
  <c r="K24" i="5"/>
  <c r="DE29" i="4"/>
  <c r="DH100" i="2"/>
  <c r="DI100" i="2" s="1"/>
  <c r="J95" i="5" s="1"/>
  <c r="O95" i="5" s="1"/>
  <c r="Q95" i="5" s="1"/>
  <c r="DH42" i="2"/>
  <c r="DI42" i="2" s="1"/>
  <c r="J37" i="5" s="1"/>
  <c r="O37" i="5" s="1"/>
  <c r="Q37" i="5" s="1"/>
  <c r="DH69" i="2"/>
  <c r="DI69" i="2" s="1"/>
  <c r="J64" i="5" s="1"/>
  <c r="O64" i="5" s="1"/>
  <c r="Q64" i="5" s="1"/>
  <c r="DH39" i="2"/>
  <c r="DI39" i="2" s="1"/>
  <c r="J34" i="5" s="1"/>
  <c r="O34" i="5" s="1"/>
  <c r="DH56" i="2"/>
  <c r="DI56" i="2" s="1"/>
  <c r="J51" i="5" s="1"/>
  <c r="O51" i="5" s="1"/>
  <c r="Q51" i="5" s="1"/>
  <c r="DH107" i="4"/>
  <c r="DI107" i="4" s="1"/>
  <c r="N102" i="5" s="1"/>
  <c r="P102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0" i="4"/>
  <c r="DI110" i="4" s="1"/>
  <c r="N105" i="5" s="1"/>
  <c r="P105" i="5" s="1"/>
  <c r="DH94" i="4"/>
  <c r="DI94" i="4" s="1"/>
  <c r="N89" i="5" s="1"/>
  <c r="P89" i="5" s="1"/>
  <c r="DH62" i="4"/>
  <c r="DI62" i="4" s="1"/>
  <c r="N57" i="5" s="1"/>
  <c r="P57" i="5" s="1"/>
  <c r="DH46" i="4"/>
  <c r="DI46" i="4" s="1"/>
  <c r="N41" i="5" s="1"/>
  <c r="P41" i="5" s="1"/>
  <c r="M24" i="5"/>
  <c r="DG29" i="4"/>
  <c r="DH113" i="4"/>
  <c r="DI113" i="4" s="1"/>
  <c r="N108" i="5" s="1"/>
  <c r="P108" i="5" s="1"/>
  <c r="DH97" i="4"/>
  <c r="DI97" i="4" s="1"/>
  <c r="N92" i="5" s="1"/>
  <c r="P92" i="5" s="1"/>
  <c r="DH81" i="4"/>
  <c r="DI81" i="4" s="1"/>
  <c r="N76" i="5" s="1"/>
  <c r="P76" i="5" s="1"/>
  <c r="DH65" i="4"/>
  <c r="DI65" i="4" s="1"/>
  <c r="N60" i="5" s="1"/>
  <c r="P60" i="5" s="1"/>
  <c r="DH49" i="4"/>
  <c r="DI49" i="4" s="1"/>
  <c r="N44" i="5" s="1"/>
  <c r="P44" i="5" s="1"/>
  <c r="L28" i="5"/>
  <c r="DF33" i="4"/>
  <c r="DH33" i="4" s="1"/>
  <c r="DI33" i="4" s="1"/>
  <c r="N28" i="5" s="1"/>
  <c r="P28" i="5" s="1"/>
  <c r="Q28" i="5" s="1"/>
  <c r="DH97" i="2"/>
  <c r="DI97" i="2" s="1"/>
  <c r="J92" i="5" s="1"/>
  <c r="O92" i="5" s="1"/>
  <c r="Q92" i="5" s="1"/>
  <c r="DH81" i="2"/>
  <c r="DI81" i="2" s="1"/>
  <c r="J76" i="5" s="1"/>
  <c r="O76" i="5" s="1"/>
  <c r="Q76" i="5" s="1"/>
  <c r="M23" i="5"/>
  <c r="DG28" i="4"/>
  <c r="DH28" i="4" s="1"/>
  <c r="DI28" i="4" s="1"/>
  <c r="N23" i="5" s="1"/>
  <c r="P23" i="5" s="1"/>
  <c r="Q23" i="5" s="1"/>
  <c r="DH44" i="4"/>
  <c r="DI44" i="4" s="1"/>
  <c r="N39" i="5" s="1"/>
  <c r="P39" i="5" s="1"/>
  <c r="DH114" i="2"/>
  <c r="DI114" i="2" s="1"/>
  <c r="J109" i="5" s="1"/>
  <c r="O109" i="5" s="1"/>
  <c r="Q109" i="5" s="1"/>
  <c r="DH106" i="2"/>
  <c r="DI106" i="2" s="1"/>
  <c r="J101" i="5" s="1"/>
  <c r="O101" i="5" s="1"/>
  <c r="Q101" i="5" s="1"/>
  <c r="Q30" i="5"/>
  <c r="DH86" i="2"/>
  <c r="DI86" i="2" s="1"/>
  <c r="J81" i="5" s="1"/>
  <c r="O81" i="5" s="1"/>
  <c r="Q81" i="5" s="1"/>
  <c r="DH29" i="2"/>
  <c r="DI29" i="2" s="1"/>
  <c r="J24" i="5" s="1"/>
  <c r="O24" i="5" s="1"/>
  <c r="DH22" i="2"/>
  <c r="DI22" i="2" s="1"/>
  <c r="J17" i="5" s="1"/>
  <c r="O17" i="5" s="1"/>
  <c r="Q17" i="5" s="1"/>
  <c r="DH19" i="2"/>
  <c r="DI19" i="2" s="1"/>
  <c r="J14" i="5" s="1"/>
  <c r="O14" i="5" s="1"/>
  <c r="Q14" i="5" s="1"/>
  <c r="K18" i="5"/>
  <c r="DE23" i="4"/>
  <c r="DH23" i="4" s="1"/>
  <c r="DI23" i="4" s="1"/>
  <c r="N18" i="5" s="1"/>
  <c r="P18" i="5" s="1"/>
  <c r="DH68" i="4"/>
  <c r="DI68" i="4" s="1"/>
  <c r="N63" i="5" s="1"/>
  <c r="P63" i="5" s="1"/>
  <c r="DH104" i="2"/>
  <c r="DI104" i="2" s="1"/>
  <c r="J99" i="5" s="1"/>
  <c r="O99" i="5" s="1"/>
  <c r="Q99" i="5" s="1"/>
  <c r="L32" i="5"/>
  <c r="DF37" i="4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K34" i="5"/>
  <c r="DE39" i="4"/>
  <c r="DH39" i="4" s="1"/>
  <c r="DI39" i="4" s="1"/>
  <c r="N34" i="5" s="1"/>
  <c r="P34" i="5" s="1"/>
  <c r="L25" i="5"/>
  <c r="DF30" i="4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109" i="4"/>
  <c r="DI109" i="4" s="1"/>
  <c r="N104" i="5" s="1"/>
  <c r="P104" i="5" s="1"/>
  <c r="DH93" i="4"/>
  <c r="DI93" i="4" s="1"/>
  <c r="N88" i="5" s="1"/>
  <c r="P88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M20" i="5"/>
  <c r="DG25" i="4"/>
  <c r="DH25" i="4" s="1"/>
  <c r="DI25" i="4" s="1"/>
  <c r="N20" i="5" s="1"/>
  <c r="P20" i="5" s="1"/>
  <c r="K16" i="5"/>
  <c r="DE21" i="4"/>
  <c r="DH21" i="4" s="1"/>
  <c r="DI21" i="4" s="1"/>
  <c r="N16" i="5" s="1"/>
  <c r="P16" i="5" s="1"/>
  <c r="Q16" i="5" s="1"/>
  <c r="DH96" i="2"/>
  <c r="DI96" i="2" s="1"/>
  <c r="J91" i="5" s="1"/>
  <c r="O91" i="5" s="1"/>
  <c r="Q91" i="5" s="1"/>
  <c r="DH29" i="4" l="1"/>
  <c r="DI29" i="4" s="1"/>
  <c r="N24" i="5" s="1"/>
  <c r="P24" i="5" s="1"/>
  <c r="Q15" i="5"/>
  <c r="Q20" i="5"/>
  <c r="DH30" i="4"/>
  <c r="DI30" i="4" s="1"/>
  <c r="N25" i="5" s="1"/>
  <c r="P25" i="5" s="1"/>
  <c r="Q25" i="5" s="1"/>
  <c r="Q34" i="5"/>
  <c r="DH37" i="4"/>
  <c r="DI37" i="4" s="1"/>
  <c r="N32" i="5" s="1"/>
  <c r="P32" i="5" s="1"/>
  <c r="Q32" i="5" s="1"/>
  <c r="DH31" i="4"/>
  <c r="DI31" i="4" s="1"/>
  <c r="N26" i="5" s="1"/>
  <c r="P26" i="5" s="1"/>
  <c r="Q26" i="5" s="1"/>
  <c r="Q18" i="5"/>
  <c r="Q22" i="5"/>
  <c r="Q24" i="5"/>
  <c r="Q29" i="5"/>
</calcChain>
</file>

<file path=xl/sharedStrings.xml><?xml version="1.0" encoding="utf-8"?>
<sst xmlns="http://schemas.openxmlformats.org/spreadsheetml/2006/main" count="453" uniqueCount="134">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</sst>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Bookman Old Style"/>
      <family val="1"/>
    </font>
    <font>
      <sz val="13"/>
      <color theme="1"/>
      <name val="Calibri"/>
      <family val="2"/>
    </font>
    <font>
      <b/>
      <sz val="13"/>
      <color theme="1"/>
      <name val="Book Antiqua"/>
      <family val="1"/>
    </font>
    <font>
      <sz val="13"/>
      <color theme="1"/>
      <name val="Book Antiqua"/>
      <family val="1"/>
    </font>
    <font>
      <sz val="13"/>
      <color theme="1"/>
      <name val="Bookman Old Style"/>
      <family val="1"/>
    </font>
    <font>
      <i/>
      <sz val="10"/>
      <color theme="1"/>
      <name val="Book Antiqua"/>
      <family val="1"/>
    </font>
    <font>
      <sz val="8"/>
      <color theme="1"/>
      <name val="Book Antiqua"/>
      <family val="1"/>
    </font>
    <font>
      <b/>
      <sz val="1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6" fillId="0" borderId="0" xfId="0" applyFont="1" applyAlignment="1">
      <alignment horizontal="lef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0" xfId="0" applyFont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" workbookViewId="0"/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 x14ac:dyDescent="0.2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x14ac:dyDescent="0.25">
      <c r="E2" s="221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 x14ac:dyDescent="0.25">
      <c r="E3" s="223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x14ac:dyDescent="0.25">
      <c r="E4" s="224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x14ac:dyDescent="0.3">
      <c r="E6" s="225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x14ac:dyDescent="0.25">
      <c r="E7" s="239" t="s">
        <v>3</v>
      </c>
      <c r="F7" s="222"/>
      <c r="G7" s="4" t="s">
        <v>4</v>
      </c>
      <c r="H7" s="5"/>
      <c r="I7" s="3" t="s">
        <v>5</v>
      </c>
      <c r="J7" s="5"/>
      <c r="K7" s="226" t="s">
        <v>6</v>
      </c>
      <c r="L7" s="227"/>
      <c r="M7" s="227"/>
      <c r="N7" s="227"/>
      <c r="O7" s="227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6"/>
      <c r="AC7" s="228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x14ac:dyDescent="0.25">
      <c r="E8" s="239" t="s">
        <v>7</v>
      </c>
      <c r="F8" s="222"/>
      <c r="G8" s="7" t="s">
        <v>8</v>
      </c>
      <c r="H8" s="5"/>
      <c r="I8" s="3" t="s">
        <v>9</v>
      </c>
      <c r="J8" s="5"/>
      <c r="K8" s="226" t="s">
        <v>10</v>
      </c>
      <c r="L8" s="227"/>
      <c r="M8" s="227"/>
      <c r="N8" s="227"/>
      <c r="O8" s="227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6"/>
      <c r="AC8" s="228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x14ac:dyDescent="0.25">
      <c r="E9" s="239" t="s">
        <v>11</v>
      </c>
      <c r="F9" s="222"/>
      <c r="G9" s="7" t="s">
        <v>12</v>
      </c>
      <c r="H9" s="5"/>
      <c r="I9" s="3" t="s">
        <v>13</v>
      </c>
      <c r="J9" s="5"/>
      <c r="K9" s="226" t="s">
        <v>14</v>
      </c>
      <c r="L9" s="227"/>
      <c r="M9" s="227"/>
      <c r="N9" s="227"/>
      <c r="O9" s="227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6"/>
      <c r="AC9" s="228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x14ac:dyDescent="0.25">
      <c r="E10" s="239" t="s">
        <v>15</v>
      </c>
      <c r="F10" s="222"/>
      <c r="G10" s="7" t="s">
        <v>16</v>
      </c>
      <c r="H10" s="5"/>
      <c r="I10" s="3" t="s">
        <v>17</v>
      </c>
      <c r="J10" s="5"/>
      <c r="K10" s="229">
        <v>3</v>
      </c>
      <c r="L10" s="227"/>
      <c r="M10" s="227"/>
      <c r="N10" s="227"/>
      <c r="O10" s="227"/>
      <c r="P10" s="5"/>
      <c r="Q10" s="2"/>
      <c r="R10" s="6"/>
      <c r="S10" s="236" t="s">
        <v>18</v>
      </c>
      <c r="T10" s="222"/>
      <c r="U10" s="222"/>
      <c r="V10" s="229" t="s">
        <v>19</v>
      </c>
      <c r="W10" s="227"/>
      <c r="X10" s="227"/>
      <c r="Y10" s="227"/>
      <c r="Z10" s="227"/>
      <c r="AA10" s="2"/>
      <c r="AB10" s="6"/>
      <c r="AC10" s="228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x14ac:dyDescent="0.25">
      <c r="E11" s="239" t="s">
        <v>20</v>
      </c>
      <c r="F11" s="222"/>
      <c r="G11" s="7" t="s">
        <v>21</v>
      </c>
      <c r="H11" s="5"/>
      <c r="I11" s="3" t="s">
        <v>22</v>
      </c>
      <c r="J11" s="5"/>
      <c r="K11" s="226" t="s">
        <v>23</v>
      </c>
      <c r="L11" s="227"/>
      <c r="M11" s="227"/>
      <c r="N11" s="227"/>
      <c r="O11" s="227"/>
      <c r="P11" s="5"/>
      <c r="Q11" s="2"/>
      <c r="R11" s="6"/>
      <c r="S11" s="236" t="s">
        <v>24</v>
      </c>
      <c r="T11" s="222"/>
      <c r="U11" s="222"/>
      <c r="V11" s="247" t="s">
        <v>25</v>
      </c>
      <c r="W11" s="248"/>
      <c r="X11" s="248"/>
      <c r="Y11" s="248"/>
      <c r="Z11" s="248"/>
      <c r="AA11" s="2"/>
      <c r="AB11" s="236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9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x14ac:dyDescent="0.25">
      <c r="E12" s="230" t="s">
        <v>26</v>
      </c>
      <c r="F12" s="231"/>
      <c r="G12" s="11" t="s">
        <v>27</v>
      </c>
      <c r="H12" s="5"/>
      <c r="I12" s="10" t="s">
        <v>28</v>
      </c>
      <c r="J12" s="11"/>
      <c r="K12" s="232" t="s">
        <v>29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v>0.5</v>
      </c>
      <c r="X12" s="237"/>
      <c r="Y12" s="231"/>
      <c r="Z12" s="11"/>
      <c r="AA12" s="16"/>
      <c r="AB12" s="238"/>
      <c r="AC12" s="231"/>
      <c r="AD12" s="231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37"/>
      <c r="BR12" s="231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25">
      <c r="E13" s="233" t="s">
        <v>31</v>
      </c>
      <c r="F13" s="233" t="s">
        <v>32</v>
      </c>
      <c r="G13" s="233" t="s">
        <v>33</v>
      </c>
      <c r="H13" s="240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2"/>
      <c r="BU13" s="245" t="s">
        <v>35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6" t="s">
        <v>36</v>
      </c>
      <c r="CP13" s="241"/>
      <c r="CQ13" s="241"/>
      <c r="CR13" s="241"/>
      <c r="CS13" s="241"/>
      <c r="CT13" s="241"/>
      <c r="CU13" s="241"/>
      <c r="CV13" s="241"/>
      <c r="CW13" s="241"/>
      <c r="CX13" s="242"/>
    </row>
    <row r="14" spans="5:102" ht="15" customHeight="1" x14ac:dyDescent="0.25">
      <c r="E14" s="234"/>
      <c r="F14" s="234"/>
      <c r="G14" s="234"/>
      <c r="H14" s="243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44"/>
      <c r="BU14" s="243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43"/>
      <c r="CP14" s="231"/>
      <c r="CQ14" s="231"/>
      <c r="CR14" s="231"/>
      <c r="CS14" s="231"/>
      <c r="CT14" s="231"/>
      <c r="CU14" s="231"/>
      <c r="CV14" s="231"/>
      <c r="CW14" s="231"/>
      <c r="CX14" s="244"/>
    </row>
    <row r="15" spans="5:102" x14ac:dyDescent="0.25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 x14ac:dyDescent="0.2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 x14ac:dyDescent="0.25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x14ac:dyDescent="0.25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80</v>
      </c>
      <c r="I18" s="50">
        <v>94</v>
      </c>
      <c r="J18" s="50">
        <v>42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80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0">
        <v>92</v>
      </c>
      <c r="CP18" s="54">
        <v>38</v>
      </c>
      <c r="CQ18" s="50"/>
      <c r="CR18" s="50"/>
      <c r="CS18" s="55"/>
      <c r="CT18" s="56"/>
      <c r="CU18" s="56"/>
      <c r="CV18" s="56"/>
      <c r="CW18" s="56"/>
      <c r="CX18" s="57"/>
    </row>
    <row r="19" spans="1:102" x14ac:dyDescent="0.25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 x14ac:dyDescent="0.25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 x14ac:dyDescent="0.25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 x14ac:dyDescent="0.25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 x14ac:dyDescent="0.25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 x14ac:dyDescent="0.25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 x14ac:dyDescent="0.25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 x14ac:dyDescent="0.25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 x14ac:dyDescent="0.25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 x14ac:dyDescent="0.25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 x14ac:dyDescent="0.25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 x14ac:dyDescent="0.25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 x14ac:dyDescent="0.25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 x14ac:dyDescent="0.25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 x14ac:dyDescent="0.25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 x14ac:dyDescent="0.25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 x14ac:dyDescent="0.25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 x14ac:dyDescent="0.25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 x14ac:dyDescent="0.25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 x14ac:dyDescent="0.25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 x14ac:dyDescent="0.25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 x14ac:dyDescent="0.25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 x14ac:dyDescent="0.25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 x14ac:dyDescent="0.25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 x14ac:dyDescent="0.25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 x14ac:dyDescent="0.25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 x14ac:dyDescent="0.25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 x14ac:dyDescent="0.25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 x14ac:dyDescent="0.25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 x14ac:dyDescent="0.25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 x14ac:dyDescent="0.25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 x14ac:dyDescent="0.25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 x14ac:dyDescent="0.25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 x14ac:dyDescent="0.25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 x14ac:dyDescent="0.25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 x14ac:dyDescent="0.25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 x14ac:dyDescent="0.25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 x14ac:dyDescent="0.25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 x14ac:dyDescent="0.25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 x14ac:dyDescent="0.25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 x14ac:dyDescent="0.25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 x14ac:dyDescent="0.25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 x14ac:dyDescent="0.25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 x14ac:dyDescent="0.25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 x14ac:dyDescent="0.25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 x14ac:dyDescent="0.25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 x14ac:dyDescent="0.25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 x14ac:dyDescent="0.25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 x14ac:dyDescent="0.25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 x14ac:dyDescent="0.25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 x14ac:dyDescent="0.25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 x14ac:dyDescent="0.25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 x14ac:dyDescent="0.25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 x14ac:dyDescent="0.25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 x14ac:dyDescent="0.25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 x14ac:dyDescent="0.25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 x14ac:dyDescent="0.25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 x14ac:dyDescent="0.25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 x14ac:dyDescent="0.25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 x14ac:dyDescent="0.25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 x14ac:dyDescent="0.25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 x14ac:dyDescent="0.25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 x14ac:dyDescent="0.25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 x14ac:dyDescent="0.25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 x14ac:dyDescent="0.25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 x14ac:dyDescent="0.25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 x14ac:dyDescent="0.25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 x14ac:dyDescent="0.25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 x14ac:dyDescent="0.25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 x14ac:dyDescent="0.25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 x14ac:dyDescent="0.25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 x14ac:dyDescent="0.25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 x14ac:dyDescent="0.25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 x14ac:dyDescent="0.25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 x14ac:dyDescent="0.25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 x14ac:dyDescent="0.25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 x14ac:dyDescent="0.25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 x14ac:dyDescent="0.25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 x14ac:dyDescent="0.25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 x14ac:dyDescent="0.25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 x14ac:dyDescent="0.25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 x14ac:dyDescent="0.25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 x14ac:dyDescent="0.25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 x14ac:dyDescent="0.25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 x14ac:dyDescent="0.25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 x14ac:dyDescent="0.25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 x14ac:dyDescent="0.25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 x14ac:dyDescent="0.25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 x14ac:dyDescent="0.25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 x14ac:dyDescent="0.25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 x14ac:dyDescent="0.25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 x14ac:dyDescent="0.25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 x14ac:dyDescent="0.25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 x14ac:dyDescent="0.25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 x14ac:dyDescent="0.25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 x14ac:dyDescent="0.25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 x14ac:dyDescent="0.25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 x14ac:dyDescent="0.25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 x14ac:dyDescent="0.25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7:F7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" workbookViewId="0"/>
  </sheetViews>
  <sheetFormatPr defaultColWidth="14.42578125" defaultRowHeight="15" customHeight="1" x14ac:dyDescent="0.25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 x14ac:dyDescent="0.2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 x14ac:dyDescent="0.2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x14ac:dyDescent="0.2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 x14ac:dyDescent="0.3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x14ac:dyDescent="0.25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 x14ac:dyDescent="0.25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 x14ac:dyDescent="0.25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 x14ac:dyDescent="0.25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 x14ac:dyDescent="0.25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9"/>
      <c r="DI11" s="222"/>
    </row>
    <row r="12" spans="5:113" x14ac:dyDescent="0.25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1"/>
      <c r="DE12" s="231"/>
      <c r="DF12" s="231"/>
      <c r="DG12" s="231"/>
      <c r="DH12" s="237"/>
      <c r="DI12" s="231"/>
    </row>
    <row r="13" spans="5:113" ht="15" customHeight="1" x14ac:dyDescent="0.25">
      <c r="E13" s="233" t="s">
        <v>31</v>
      </c>
      <c r="F13" s="233" t="s">
        <v>32</v>
      </c>
      <c r="G13" s="233" t="s">
        <v>33</v>
      </c>
      <c r="H13" s="259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2"/>
      <c r="BW13" s="245" t="s">
        <v>35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2"/>
      <c r="CS13" s="246" t="s">
        <v>36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2"/>
      <c r="DE13" s="261" t="s">
        <v>71</v>
      </c>
      <c r="DF13" s="262"/>
      <c r="DG13" s="263"/>
      <c r="DH13" s="264" t="s">
        <v>72</v>
      </c>
      <c r="DI13" s="242"/>
    </row>
    <row r="14" spans="5:113" ht="15" customHeight="1" x14ac:dyDescent="0.25">
      <c r="E14" s="234"/>
      <c r="F14" s="234"/>
      <c r="G14" s="234"/>
      <c r="H14" s="260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44"/>
      <c r="BW14" s="243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31"/>
      <c r="CP14" s="231"/>
      <c r="CQ14" s="231"/>
      <c r="CR14" s="244"/>
      <c r="CS14" s="243"/>
      <c r="CT14" s="231"/>
      <c r="CU14" s="231"/>
      <c r="CV14" s="231"/>
      <c r="CW14" s="231"/>
      <c r="CX14" s="231"/>
      <c r="CY14" s="231"/>
      <c r="CZ14" s="231"/>
      <c r="DA14" s="231"/>
      <c r="DB14" s="231"/>
      <c r="DC14" s="231"/>
      <c r="DD14" s="244"/>
      <c r="DE14" s="77" t="s">
        <v>73</v>
      </c>
      <c r="DF14" s="78" t="s">
        <v>74</v>
      </c>
      <c r="DG14" s="79" t="s">
        <v>75</v>
      </c>
      <c r="DH14" s="243"/>
      <c r="DI14" s="244"/>
    </row>
    <row r="15" spans="5:113" x14ac:dyDescent="0.25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2" t="s">
        <v>76</v>
      </c>
      <c r="BV15" s="25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7" t="s">
        <v>76</v>
      </c>
      <c r="DD15" s="25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 x14ac:dyDescent="0.25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3"/>
      <c r="BV16" s="25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3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3"/>
      <c r="DD16" s="255"/>
      <c r="DE16" s="90"/>
      <c r="DF16" s="91"/>
      <c r="DG16" s="92"/>
      <c r="DH16" s="93"/>
      <c r="DI16" s="94"/>
    </row>
    <row r="17" spans="5:113" x14ac:dyDescent="0.25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 x14ac:dyDescent="0.2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f>IF('Midterm OVPAA-F-INS-055A RAW SC'!H18="","",'Midterm OVPAA-F-INS-055A RAW SC'!H18/'Midterm OVPAA-F-INS-055A RAW SC'!H$17*100)</f>
        <v>80</v>
      </c>
      <c r="I18" s="109">
        <f>IF('Midterm OVPAA-F-INS-055A RAW SC'!I18="","",'Midterm OVPAA-F-INS-055A RAW SC'!I18/'Midterm OVPAA-F-INS-055A RAW SC'!I$17*100)</f>
        <v>94</v>
      </c>
      <c r="J18" s="109">
        <f>IF('Midterm OVPAA-F-INS-055A RAW SC'!J18="","",'Midterm OVPAA-F-INS-055A RAW SC'!J18/'Midterm OVPAA-F-INS-055A RAW SC'!J$17*100)</f>
        <v>84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86</v>
      </c>
      <c r="BV18" s="111">
        <f>IF(BU18="","",VLOOKUP(BU18,IF('Midterm OVPAA-F-INS-055A RAW SC'!$V$12=0.5,TRANSMUTATION!$C$4:$D$17,TRANSMUTATION!$G$4:$H$17),2,TRUE))</f>
        <v>1.5</v>
      </c>
      <c r="BW18" s="112">
        <f>IF('Midterm OVPAA-F-INS-055A RAW SC'!BU18="","",'Midterm OVPAA-F-INS-055A RAW SC'!BU18/'Midterm OVPAA-F-INS-055A RAW SC'!BU$17*100)</f>
        <v>80</v>
      </c>
      <c r="BX18" s="113">
        <f>IF('Midterm OVPAA-F-INS-055A RAW SC'!BV18="","",'Midterm OVPAA-F-INS-055A RAW SC'!BV18/'Midterm OVPAA-F-INS-055A RAW SC'!BV$17*100)</f>
        <v>100</v>
      </c>
      <c r="BY18" s="113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str">
        <f>IF('Midterm OVPAA-F-INS-055A RAW SC'!CN18="","",'Midterm OVPAA-F-INS-055A RAW SC'!CN18/'Midterm OVPAA-F-INS-055A RAW SC'!CN$17*100)</f>
        <v/>
      </c>
      <c r="CQ18" s="115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93.333333333333329</v>
      </c>
      <c r="CR18" s="116">
        <f>IF(CQ18="","",VLOOKUP(CQ18,IF('Midterm OVPAA-F-INS-055A RAW SC'!$V$12=0.5,TRANSMUTATION!$C$4:$D$17,TRANSMUTATION!$G$4:$H$17),2,TRUE))</f>
        <v>1.25</v>
      </c>
      <c r="CS18" s="117">
        <f>IF('Midterm OVPAA-F-INS-055A RAW SC'!CO18="","",'Midterm OVPAA-F-INS-055A RAW SC'!CO18/'Midterm OVPAA-F-INS-055A RAW SC'!CO$17*100)</f>
        <v>92</v>
      </c>
      <c r="CT18" s="117">
        <f>IF('Midterm OVPAA-F-INS-055A RAW SC'!CP18="","",'Midterm OVPAA-F-INS-055A RAW SC'!CP18/'Midterm OVPAA-F-INS-055A RAW SC'!CP$17*100)</f>
        <v>76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84</v>
      </c>
      <c r="DD18" s="119">
        <f>IF(DC18="","",VLOOKUP(DC18,IF('Midterm OVPAA-F-INS-055A RAW SC'!$V$12=0.5,TRANSMUTATION!$C$4:$D$17,TRANSMUTATION!$G$4:$H$17),2,TRUE))</f>
        <v>1.75</v>
      </c>
      <c r="DE18" s="120">
        <f t="shared" ref="DE18:DE117" si="1">IF(BV18="","",(BV18*DE$15))</f>
        <v>0.44999999999999996</v>
      </c>
      <c r="DF18" s="121">
        <f t="shared" ref="DF18:DF117" si="2">IF(CR18="","",(CR18*DF$15))</f>
        <v>0.375</v>
      </c>
      <c r="DG18" s="122">
        <f t="shared" ref="DG18:DG117" si="3">IF(DD18="","",(DD18*DG$15))</f>
        <v>0.70000000000000007</v>
      </c>
      <c r="DH18" s="120">
        <f t="shared" ref="DH18:DH117" si="4">IF($DF$15="",IF(OR(DE18="",DG18="")=TRUE,"",(SUM(DE18:DG18))),IF(OR(DE18="",DF18="",DG18="")=TRUE,"",(SUM(DE18:DG18))))</f>
        <v>1.5249999999999999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1.50</v>
      </c>
    </row>
    <row r="19" spans="5:113" ht="15.75" x14ac:dyDescent="0.2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IF('Midterm OVPAA-F-INS-055A RAW SC'!H19="","",'Midterm OVPAA-F-INS-055A RAW SC'!H19/'Midterm OVPAA-F-INS-055A RAW SC'!H$17*100)</f>
        <v>70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82.666666666666671</v>
      </c>
      <c r="BV19" s="128">
        <f>IF(BU19="","",VLOOKUP(BU19,IF('Midterm OVPAA-F-INS-055A RAW SC'!$V$12=0.5,TRANSMUTATION!$C$4:$D$17,TRANSMUTATION!$G$4:$H$17),2,TRUE))</f>
        <v>1.75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0.52500000000000002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1.675</v>
      </c>
      <c r="DI19" s="123" t="str">
        <f t="shared" si="5"/>
        <v>1.75</v>
      </c>
    </row>
    <row r="20" spans="5:113" ht="15.75" x14ac:dyDescent="0.2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IF('Midterm OVPAA-F-INS-055A RAW SC'!H20="","",'Midterm OVPAA-F-INS-055A RAW SC'!H20/'Midterm OVPAA-F-INS-055A RAW SC'!H$17*100)</f>
        <v>94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8">
        <f>IF(BU20="","",VLOOKUP(BU20,IF('Midterm OVPAA-F-INS-055A RAW SC'!$V$12=0.5,TRANSMUTATION!$C$4:$D$17,TRANSMUTATION!$G$4:$H$17),2,TRUE))</f>
        <v>1.25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0.375</v>
      </c>
      <c r="DF20" s="137">
        <f t="shared" si="2"/>
        <v>0.3</v>
      </c>
      <c r="DG20" s="138">
        <f t="shared" si="3"/>
        <v>0.5</v>
      </c>
      <c r="DH20" s="136">
        <f t="shared" si="4"/>
        <v>1.175</v>
      </c>
      <c r="DI20" s="123" t="str">
        <f t="shared" si="5"/>
        <v>1.25</v>
      </c>
    </row>
    <row r="21" spans="5:113" ht="15.75" customHeight="1" x14ac:dyDescent="0.25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IF('Midterm OVPAA-F-INS-055A RAW SC'!H21="","",'Midterm OVPAA-F-INS-055A RAW SC'!H21/'Midterm OVPAA-F-INS-055A RAW SC'!H$17*100)</f>
        <v>72</v>
      </c>
      <c r="I21" s="126">
        <f>IF('Midterm OVPAA-F-INS-055A RAW SC'!I21="","",'Midterm OVPAA-F-INS-055A RAW SC'!I21/'Midterm OVPAA-F-INS-055A RAW SC'!I$17*100)</f>
        <v>60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44</v>
      </c>
      <c r="BV21" s="128">
        <f>IF(BU21="","",VLOOKUP(BU21,IF('Midterm OVPAA-F-INS-055A RAW SC'!$V$12=0.5,TRANSMUTATION!$C$4:$D$17,TRANSMUTATION!$G$4:$H$17),2,TRUE))</f>
        <v>3.25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0.97499999999999998</v>
      </c>
      <c r="DF21" s="137">
        <f t="shared" si="2"/>
        <v>0.52500000000000002</v>
      </c>
      <c r="DG21" s="138">
        <f t="shared" si="3"/>
        <v>0.9</v>
      </c>
      <c r="DH21" s="136">
        <f t="shared" si="4"/>
        <v>2.4</v>
      </c>
      <c r="DI21" s="123" t="str">
        <f t="shared" si="5"/>
        <v>2.50</v>
      </c>
    </row>
    <row r="22" spans="5:113" ht="15.75" customHeight="1" x14ac:dyDescent="0.25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 x14ac:dyDescent="0.25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f>IF('Midterm OVPAA-F-INS-055A RAW SC'!I23="","",'Midterm OVPAA-F-INS-055A RAW SC'!I23/'Midterm OVPAA-F-INS-055A RAW SC'!I$17*100)</f>
        <v>94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8">
        <f>IF(BU23="","",VLOOKUP(BU23,IF('Midterm OVPAA-F-INS-055A RAW SC'!$V$12=0.5,TRANSMUTATION!$C$4:$D$17,TRANSMUTATION!$G$4:$H$17),2,TRUE))</f>
        <v>1.5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0.44999999999999996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1.425</v>
      </c>
      <c r="DI23" s="123" t="str">
        <f t="shared" si="5"/>
        <v>1.50</v>
      </c>
    </row>
    <row r="24" spans="5:113" ht="15.75" customHeight="1" x14ac:dyDescent="0.25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f>IF('Midterm OVPAA-F-INS-055A RAW SC'!I24="","",'Midterm OVPAA-F-INS-055A RAW SC'!I24/'Midterm OVPAA-F-INS-055A RAW SC'!I$17*100)</f>
        <v>60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8">
        <f>IF(BU24="","",VLOOKUP(BU24,IF('Midterm OVPAA-F-INS-055A RAW SC'!$V$12=0.5,TRANSMUTATION!$C$4:$D$17,TRANSMUTATION!$G$4:$H$17),2,TRUE))</f>
        <v>2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2.0249999999999999</v>
      </c>
      <c r="DI24" s="123" t="str">
        <f t="shared" si="5"/>
        <v>2.00</v>
      </c>
    </row>
    <row r="25" spans="5:113" ht="15.75" customHeight="1" x14ac:dyDescent="0.25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IF('Midterm OVPAA-F-INS-055A RAW SC'!H25="","",'Midterm OVPAA-F-INS-055A RAW SC'!H25/'Midterm OVPAA-F-INS-055A RAW SC'!H$17*100)</f>
        <v>80</v>
      </c>
      <c r="I25" s="126">
        <f>IF('Midterm OVPAA-F-INS-055A RAW SC'!I25="","",'Midterm OVPAA-F-INS-055A RAW SC'!I25/'Midterm OVPAA-F-INS-055A RAW SC'!I$17*100)</f>
        <v>94</v>
      </c>
      <c r="J25" s="126">
        <f>IF('Midterm OVPAA-F-INS-055A RAW SC'!J25="","",'Midterm OVPAA-F-INS-055A RAW SC'!J25/'Midterm OVPAA-F-INS-055A RAW SC'!J$17*100)</f>
        <v>84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8">
        <f>IF(BU25="","",VLOOKUP(BU25,IF('Midterm OVPAA-F-INS-055A RAW SC'!$V$12=0.5,TRANSMUTATION!$C$4:$D$17,TRANSMUTATION!$G$4:$H$17),2,TRUE))</f>
        <v>1.5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0.44999999999999996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1.425</v>
      </c>
      <c r="DI25" s="123" t="str">
        <f t="shared" si="5"/>
        <v>1.50</v>
      </c>
    </row>
    <row r="26" spans="5:113" ht="15.75" customHeight="1" x14ac:dyDescent="0.25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 x14ac:dyDescent="0.25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 x14ac:dyDescent="0.25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 x14ac:dyDescent="0.25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IF('Midterm OVPAA-F-INS-055A RAW SC'!H29="","",'Midterm OVPAA-F-INS-055A RAW SC'!H29/'Midterm OVPAA-F-INS-055A RAW SC'!H$17*100)</f>
        <v>72</v>
      </c>
      <c r="I29" s="126">
        <f>IF('Midterm OVPAA-F-INS-055A RAW SC'!I29="","",'Midterm OVPAA-F-INS-055A RAW SC'!I29/'Midterm OVPAA-F-INS-055A RAW SC'!I$17*100)</f>
        <v>60</v>
      </c>
      <c r="J29" s="126">
        <f>IF('Midterm OVPAA-F-INS-055A RAW SC'!J29="","",'Midterm OVPAA-F-INS-055A RAW SC'!J29/'Midterm OVPAA-F-INS-055A RAW SC'!J$17*100)</f>
        <v>100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77.333333333333329</v>
      </c>
      <c r="BV29" s="128">
        <f>IF(BU29="","",VLOOKUP(BU29,IF('Midterm OVPAA-F-INS-055A RAW SC'!$V$12=0.5,TRANSMUTATION!$C$4:$D$17,TRANSMUTATION!$G$4:$H$17),2,TRUE))</f>
        <v>2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</v>
      </c>
      <c r="DF29" s="137">
        <f t="shared" si="2"/>
        <v>0.52500000000000002</v>
      </c>
      <c r="DG29" s="138">
        <f t="shared" si="3"/>
        <v>0.8</v>
      </c>
      <c r="DH29" s="136">
        <f t="shared" si="4"/>
        <v>1.925</v>
      </c>
      <c r="DI29" s="123" t="str">
        <f t="shared" si="5"/>
        <v>2.00</v>
      </c>
    </row>
    <row r="30" spans="5:113" ht="15.75" customHeight="1" x14ac:dyDescent="0.25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 x14ac:dyDescent="0.25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 x14ac:dyDescent="0.25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f>IF('Midterm OVPAA-F-INS-055A RAW SC'!I32="","",'Midterm OVPAA-F-INS-055A RAW SC'!I32/'Midterm OVPAA-F-INS-055A RAW SC'!I$17*100)</f>
        <v>93</v>
      </c>
      <c r="J32" s="126">
        <f>IF('Midterm OVPAA-F-INS-055A RAW SC'!J32="","",'Midterm OVPAA-F-INS-055A RAW SC'!J32/'Midterm OVPAA-F-INS-055A RAW SC'!J$17*100)</f>
        <v>88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91.666666666666671</v>
      </c>
      <c r="BV32" s="128">
        <f>IF(BU32="","",VLOOKUP(BU32,IF('Midterm OVPAA-F-INS-055A RAW SC'!$V$12=0.5,TRANSMUTATION!$C$4:$D$17,TRANSMUTATION!$G$4:$H$17),2,TRUE))</f>
        <v>1.25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0.375</v>
      </c>
      <c r="DF32" s="137">
        <f t="shared" si="2"/>
        <v>0.3</v>
      </c>
      <c r="DG32" s="138">
        <f t="shared" si="3"/>
        <v>0.60000000000000009</v>
      </c>
      <c r="DH32" s="136">
        <f t="shared" si="4"/>
        <v>1.2750000000000001</v>
      </c>
      <c r="DI32" s="123" t="str">
        <f t="shared" si="5"/>
        <v>1.25</v>
      </c>
    </row>
    <row r="33" spans="5:113" ht="15.75" customHeight="1" x14ac:dyDescent="0.25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f>IF('Midterm OVPAA-F-INS-055A RAW SC'!I33="","",'Midterm OVPAA-F-INS-055A RAW SC'!I33/'Midterm OVPAA-F-INS-055A RAW SC'!I$17*100)</f>
        <v>60</v>
      </c>
      <c r="J33" s="126">
        <f>IF('Midterm OVPAA-F-INS-055A RAW SC'!J33="","",'Midterm OVPAA-F-INS-055A RAW SC'!J33/'Midterm OVPAA-F-INS-055A RAW SC'!J$17*100)</f>
        <v>100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77.333333333333329</v>
      </c>
      <c r="BV33" s="128">
        <f>IF(BU33="","",VLOOKUP(BU33,IF('Midterm OVPAA-F-INS-055A RAW SC'!$V$12=0.5,TRANSMUTATION!$C$4:$D$17,TRANSMUTATION!$G$4:$H$17),2,TRUE))</f>
        <v>2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0.6</v>
      </c>
      <c r="DF33" s="137">
        <f t="shared" si="2"/>
        <v>0.52500000000000002</v>
      </c>
      <c r="DG33" s="138">
        <f t="shared" si="3"/>
        <v>0.8</v>
      </c>
      <c r="DH33" s="136">
        <f t="shared" si="4"/>
        <v>1.925</v>
      </c>
      <c r="DI33" s="123" t="str">
        <f t="shared" si="5"/>
        <v>2.00</v>
      </c>
    </row>
    <row r="34" spans="5:113" ht="15.75" customHeight="1" x14ac:dyDescent="0.25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 x14ac:dyDescent="0.25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 x14ac:dyDescent="0.25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 x14ac:dyDescent="0.25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 x14ac:dyDescent="0.25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 x14ac:dyDescent="0.25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 x14ac:dyDescent="0.25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 x14ac:dyDescent="0.25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 x14ac:dyDescent="0.25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 x14ac:dyDescent="0.25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 x14ac:dyDescent="0.25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 x14ac:dyDescent="0.25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 x14ac:dyDescent="0.25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 x14ac:dyDescent="0.25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 x14ac:dyDescent="0.25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 x14ac:dyDescent="0.25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 x14ac:dyDescent="0.25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 x14ac:dyDescent="0.25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 x14ac:dyDescent="0.25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 x14ac:dyDescent="0.25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 x14ac:dyDescent="0.25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 x14ac:dyDescent="0.25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 x14ac:dyDescent="0.25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 x14ac:dyDescent="0.25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 x14ac:dyDescent="0.25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 x14ac:dyDescent="0.25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 x14ac:dyDescent="0.25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 x14ac:dyDescent="0.25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 x14ac:dyDescent="0.25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 x14ac:dyDescent="0.25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 x14ac:dyDescent="0.25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 x14ac:dyDescent="0.25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 x14ac:dyDescent="0.25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 x14ac:dyDescent="0.25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 x14ac:dyDescent="0.25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 x14ac:dyDescent="0.25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 x14ac:dyDescent="0.25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 x14ac:dyDescent="0.25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 x14ac:dyDescent="0.25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 x14ac:dyDescent="0.25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 x14ac:dyDescent="0.25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 x14ac:dyDescent="0.25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 x14ac:dyDescent="0.25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 x14ac:dyDescent="0.25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 x14ac:dyDescent="0.25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 x14ac:dyDescent="0.25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 x14ac:dyDescent="0.25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 x14ac:dyDescent="0.25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 x14ac:dyDescent="0.25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 x14ac:dyDescent="0.25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 x14ac:dyDescent="0.25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 x14ac:dyDescent="0.25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 x14ac:dyDescent="0.25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 x14ac:dyDescent="0.25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 x14ac:dyDescent="0.25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 x14ac:dyDescent="0.25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 x14ac:dyDescent="0.25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 x14ac:dyDescent="0.25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 x14ac:dyDescent="0.25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 x14ac:dyDescent="0.25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 x14ac:dyDescent="0.25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 x14ac:dyDescent="0.25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 x14ac:dyDescent="0.25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 x14ac:dyDescent="0.25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 x14ac:dyDescent="0.25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 x14ac:dyDescent="0.25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 x14ac:dyDescent="0.25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 x14ac:dyDescent="0.25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 x14ac:dyDescent="0.25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 x14ac:dyDescent="0.25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 x14ac:dyDescent="0.25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 x14ac:dyDescent="0.25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 x14ac:dyDescent="0.25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 x14ac:dyDescent="0.25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 x14ac:dyDescent="0.25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 x14ac:dyDescent="0.25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 x14ac:dyDescent="0.25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 x14ac:dyDescent="0.25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 x14ac:dyDescent="0.25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 x14ac:dyDescent="0.25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 x14ac:dyDescent="0.25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 x14ac:dyDescent="0.25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 x14ac:dyDescent="0.25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 x14ac:dyDescent="0.25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H13:BV14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BL7:BP7"/>
    <mergeCell ref="BV7:CO7"/>
    <mergeCell ref="BL8:BP8"/>
    <mergeCell ref="BV8:CO8"/>
    <mergeCell ref="DC8:DG8"/>
    <mergeCell ref="E11:F11"/>
    <mergeCell ref="K11:O11"/>
    <mergeCell ref="S11:U11"/>
    <mergeCell ref="V11:Z11"/>
    <mergeCell ref="BL11:BP11"/>
    <mergeCell ref="CP11:CS11"/>
    <mergeCell ref="DC11:DG11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K1" workbookViewId="0"/>
  </sheetViews>
  <sheetFormatPr defaultColWidth="14.42578125" defaultRowHeight="15" customHeight="1" x14ac:dyDescent="0.25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 x14ac:dyDescent="0.2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6.5" x14ac:dyDescent="0.2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x14ac:dyDescent="0.2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x14ac:dyDescent="0.3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x14ac:dyDescent="0.25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 x14ac:dyDescent="0.25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 x14ac:dyDescent="0.25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 x14ac:dyDescent="0.25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 x14ac:dyDescent="0.25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</row>
    <row r="12" spans="5:102" x14ac:dyDescent="0.25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</row>
    <row r="13" spans="5:102" ht="15" customHeight="1" x14ac:dyDescent="0.25">
      <c r="E13" s="233" t="s">
        <v>31</v>
      </c>
      <c r="F13" s="233" t="s">
        <v>32</v>
      </c>
      <c r="G13" s="233" t="s">
        <v>33</v>
      </c>
      <c r="H13" s="240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2"/>
      <c r="BU13" s="245" t="s">
        <v>35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6" t="s">
        <v>36</v>
      </c>
      <c r="CP13" s="241"/>
      <c r="CQ13" s="241"/>
      <c r="CR13" s="241"/>
      <c r="CS13" s="241"/>
      <c r="CT13" s="241"/>
      <c r="CU13" s="241"/>
      <c r="CV13" s="241"/>
      <c r="CW13" s="241"/>
      <c r="CX13" s="242"/>
    </row>
    <row r="14" spans="5:102" ht="15" customHeight="1" x14ac:dyDescent="0.25">
      <c r="E14" s="234"/>
      <c r="F14" s="234"/>
      <c r="G14" s="234"/>
      <c r="H14" s="243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44"/>
      <c r="BU14" s="243"/>
      <c r="BV14" s="231"/>
      <c r="BW14" s="231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43"/>
      <c r="CP14" s="231"/>
      <c r="CQ14" s="231"/>
      <c r="CR14" s="231"/>
      <c r="CS14" s="231"/>
      <c r="CT14" s="231"/>
      <c r="CU14" s="231"/>
      <c r="CV14" s="231"/>
      <c r="CW14" s="231"/>
      <c r="CX14" s="244"/>
    </row>
    <row r="15" spans="5:102" x14ac:dyDescent="0.25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 x14ac:dyDescent="0.2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 x14ac:dyDescent="0.25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x14ac:dyDescent="0.2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5</v>
      </c>
      <c r="I18" s="50">
        <v>5</v>
      </c>
      <c r="J18" s="50">
        <v>3</v>
      </c>
      <c r="K18" s="50">
        <v>5</v>
      </c>
      <c r="L18" s="50">
        <v>5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95</v>
      </c>
      <c r="BV18" s="50">
        <v>0</v>
      </c>
      <c r="BW18" s="50">
        <v>10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/>
      <c r="CO18" s="52">
        <v>100</v>
      </c>
      <c r="CP18" s="50">
        <v>91.25</v>
      </c>
      <c r="CQ18" s="50"/>
      <c r="CR18" s="50"/>
      <c r="CS18" s="55"/>
      <c r="CT18" s="56"/>
      <c r="CU18" s="56"/>
      <c r="CV18" s="56"/>
      <c r="CW18" s="56"/>
      <c r="CX18" s="57"/>
    </row>
    <row r="19" spans="1:102" x14ac:dyDescent="0.25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100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x14ac:dyDescent="0.25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5</v>
      </c>
      <c r="I20" s="50">
        <v>5</v>
      </c>
      <c r="J20" s="50">
        <v>3</v>
      </c>
      <c r="K20" s="50">
        <v>5</v>
      </c>
      <c r="L20" s="50">
        <v>5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87</v>
      </c>
      <c r="BV20" s="50">
        <v>70</v>
      </c>
      <c r="BW20" s="50">
        <v>10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80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 x14ac:dyDescent="0.25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5</v>
      </c>
      <c r="J21" s="50">
        <v>3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84</v>
      </c>
      <c r="BV21" s="50">
        <v>92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 x14ac:dyDescent="0.25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5</v>
      </c>
      <c r="K22" s="50">
        <v>5</v>
      </c>
      <c r="L22" s="50">
        <v>5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92</v>
      </c>
      <c r="BV22" s="60">
        <v>100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 x14ac:dyDescent="0.25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5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95</v>
      </c>
      <c r="BV23" s="50">
        <v>0</v>
      </c>
      <c r="BW23" s="50">
        <v>10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 x14ac:dyDescent="0.25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5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10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 x14ac:dyDescent="0.25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5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10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 x14ac:dyDescent="0.25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5</v>
      </c>
      <c r="I26" s="50">
        <v>5</v>
      </c>
      <c r="J26" s="50">
        <v>3</v>
      </c>
      <c r="K26" s="50">
        <v>5</v>
      </c>
      <c r="L26" s="50">
        <v>5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84</v>
      </c>
      <c r="BV26" s="50">
        <v>92</v>
      </c>
      <c r="BW26" s="50">
        <v>10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 x14ac:dyDescent="0.25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 x14ac:dyDescent="0.25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 x14ac:dyDescent="0.25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 x14ac:dyDescent="0.25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 x14ac:dyDescent="0.25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 x14ac:dyDescent="0.25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 x14ac:dyDescent="0.25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 x14ac:dyDescent="0.25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 x14ac:dyDescent="0.25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 x14ac:dyDescent="0.25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 x14ac:dyDescent="0.25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 x14ac:dyDescent="0.25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 x14ac:dyDescent="0.25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 x14ac:dyDescent="0.25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 x14ac:dyDescent="0.25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 x14ac:dyDescent="0.25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 x14ac:dyDescent="0.25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 x14ac:dyDescent="0.25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 x14ac:dyDescent="0.25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 x14ac:dyDescent="0.25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 x14ac:dyDescent="0.25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 x14ac:dyDescent="0.25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 x14ac:dyDescent="0.25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 x14ac:dyDescent="0.25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 x14ac:dyDescent="0.25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 x14ac:dyDescent="0.25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 x14ac:dyDescent="0.25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 x14ac:dyDescent="0.25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 x14ac:dyDescent="0.25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 x14ac:dyDescent="0.25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 x14ac:dyDescent="0.25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 x14ac:dyDescent="0.25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 x14ac:dyDescent="0.25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 x14ac:dyDescent="0.25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 x14ac:dyDescent="0.25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 x14ac:dyDescent="0.25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 x14ac:dyDescent="0.25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 x14ac:dyDescent="0.25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 x14ac:dyDescent="0.25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 x14ac:dyDescent="0.25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 x14ac:dyDescent="0.25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 x14ac:dyDescent="0.25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 x14ac:dyDescent="0.25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 x14ac:dyDescent="0.25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 x14ac:dyDescent="0.25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 x14ac:dyDescent="0.25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 x14ac:dyDescent="0.25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 x14ac:dyDescent="0.25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 x14ac:dyDescent="0.25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 x14ac:dyDescent="0.25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 x14ac:dyDescent="0.25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 x14ac:dyDescent="0.25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 x14ac:dyDescent="0.25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 x14ac:dyDescent="0.25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 x14ac:dyDescent="0.25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 x14ac:dyDescent="0.25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 x14ac:dyDescent="0.25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 x14ac:dyDescent="0.25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 x14ac:dyDescent="0.25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 x14ac:dyDescent="0.25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 x14ac:dyDescent="0.25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 x14ac:dyDescent="0.25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 x14ac:dyDescent="0.25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 x14ac:dyDescent="0.25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 x14ac:dyDescent="0.25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 x14ac:dyDescent="0.25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 x14ac:dyDescent="0.25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 x14ac:dyDescent="0.25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 x14ac:dyDescent="0.25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 x14ac:dyDescent="0.25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 x14ac:dyDescent="0.25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 x14ac:dyDescent="0.25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 x14ac:dyDescent="0.25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 x14ac:dyDescent="0.25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 x14ac:dyDescent="0.25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 x14ac:dyDescent="0.25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 x14ac:dyDescent="0.25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 x14ac:dyDescent="0.25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 x14ac:dyDescent="0.25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 x14ac:dyDescent="0.25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 x14ac:dyDescent="0.25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 x14ac:dyDescent="0.25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 x14ac:dyDescent="0.25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 x14ac:dyDescent="0.25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 x14ac:dyDescent="0.25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 x14ac:dyDescent="0.25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 x14ac:dyDescent="0.25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 x14ac:dyDescent="0.25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 x14ac:dyDescent="0.25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 x14ac:dyDescent="0.25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 x14ac:dyDescent="0.25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BU13:CN14"/>
    <mergeCell ref="CO13:CX14"/>
    <mergeCell ref="E13:E17"/>
    <mergeCell ref="F13:F17"/>
    <mergeCell ref="G13:G17"/>
    <mergeCell ref="K7:O7"/>
    <mergeCell ref="K8:O8"/>
    <mergeCell ref="E9:F9"/>
    <mergeCell ref="K9:O9"/>
    <mergeCell ref="E10:F10"/>
    <mergeCell ref="E11:F11"/>
    <mergeCell ref="H13:BT14"/>
    <mergeCell ref="E8:F8"/>
    <mergeCell ref="BV8:CO8"/>
    <mergeCell ref="S10:U10"/>
    <mergeCell ref="V10:Z10"/>
    <mergeCell ref="BL10:BP10"/>
    <mergeCell ref="BV10:CO10"/>
    <mergeCell ref="K10:O10"/>
    <mergeCell ref="S9:W9"/>
    <mergeCell ref="F2:CX2"/>
    <mergeCell ref="F3:CX3"/>
    <mergeCell ref="F4:CX4"/>
    <mergeCell ref="F6:CX6"/>
    <mergeCell ref="E7:F7"/>
    <mergeCell ref="S7:W7"/>
    <mergeCell ref="BL7:BP7"/>
    <mergeCell ref="BV7:CO7"/>
    <mergeCell ref="S8:W8"/>
    <mergeCell ref="BL8:BP8"/>
    <mergeCell ref="BL9:BP9"/>
    <mergeCell ref="BV9:CO9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S11:U11"/>
    <mergeCell ref="V11:Z11"/>
    <mergeCell ref="BL11:BP11"/>
    <mergeCell ref="BQ11:BR11"/>
    <mergeCell ref="BV11:CO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" workbookViewId="0"/>
  </sheetViews>
  <sheetFormatPr defaultColWidth="14.42578125" defaultRowHeight="15" customHeight="1" x14ac:dyDescent="0.25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 x14ac:dyDescent="0.25">
      <c r="F2" s="221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6.5" x14ac:dyDescent="0.25">
      <c r="F3" s="223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x14ac:dyDescent="0.25">
      <c r="F4" s="224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x14ac:dyDescent="0.2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 x14ac:dyDescent="0.3">
      <c r="E6" s="5"/>
      <c r="F6" s="225" t="s">
        <v>69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x14ac:dyDescent="0.25">
      <c r="E7" s="236" t="s">
        <v>3</v>
      </c>
      <c r="F7" s="222"/>
      <c r="G7" s="5" t="str">
        <f>'Midterm OVPAA-F-INS-055A RAW SC'!G7</f>
        <v>T40</v>
      </c>
      <c r="H7" s="6"/>
      <c r="I7" s="3" t="s">
        <v>5</v>
      </c>
      <c r="J7" s="5"/>
      <c r="K7" s="228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8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8"/>
      <c r="BM7" s="222"/>
      <c r="BN7" s="222"/>
      <c r="BO7" s="222"/>
      <c r="BP7" s="222"/>
      <c r="BQ7" s="5"/>
      <c r="BR7" s="5"/>
      <c r="BS7" s="5"/>
      <c r="BT7" s="2"/>
      <c r="BU7" s="6"/>
      <c r="BV7" s="228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8"/>
      <c r="DD7" s="222"/>
      <c r="DE7" s="222"/>
      <c r="DF7" s="222"/>
      <c r="DG7" s="222"/>
      <c r="DH7" s="5"/>
      <c r="DI7" s="5"/>
    </row>
    <row r="8" spans="5:113" x14ac:dyDescent="0.25">
      <c r="E8" s="236" t="s">
        <v>7</v>
      </c>
      <c r="F8" s="222"/>
      <c r="G8" s="5" t="str">
        <f>'Midterm OVPAA-F-INS-055A RAW SC'!G8</f>
        <v>DA 142</v>
      </c>
      <c r="H8" s="6"/>
      <c r="I8" s="3" t="s">
        <v>9</v>
      </c>
      <c r="J8" s="5"/>
      <c r="K8" s="228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8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8"/>
      <c r="BM8" s="222"/>
      <c r="BN8" s="222"/>
      <c r="BO8" s="222"/>
      <c r="BP8" s="222"/>
      <c r="BQ8" s="5"/>
      <c r="BR8" s="5"/>
      <c r="BS8" s="5"/>
      <c r="BT8" s="2"/>
      <c r="BU8" s="6"/>
      <c r="BV8" s="228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8"/>
      <c r="DD8" s="222"/>
      <c r="DE8" s="222"/>
      <c r="DF8" s="222"/>
      <c r="DG8" s="222"/>
      <c r="DH8" s="5"/>
      <c r="DI8" s="5"/>
    </row>
    <row r="9" spans="5:113" x14ac:dyDescent="0.25">
      <c r="E9" s="236" t="s">
        <v>11</v>
      </c>
      <c r="F9" s="222"/>
      <c r="G9" s="5" t="str">
        <f>'Midterm OVPAA-F-INS-055A RAW SC'!G9</f>
        <v>Animation Design and Production</v>
      </c>
      <c r="H9" s="6"/>
      <c r="I9" s="3" t="s">
        <v>13</v>
      </c>
      <c r="J9" s="5"/>
      <c r="K9" s="228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8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8"/>
      <c r="BM9" s="222"/>
      <c r="BN9" s="222"/>
      <c r="BO9" s="222"/>
      <c r="BP9" s="222"/>
      <c r="BQ9" s="5"/>
      <c r="BR9" s="5"/>
      <c r="BS9" s="5"/>
      <c r="BT9" s="2"/>
      <c r="BU9" s="6"/>
      <c r="BV9" s="228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8"/>
      <c r="DD9" s="222"/>
      <c r="DE9" s="222"/>
      <c r="DF9" s="222"/>
      <c r="DG9" s="222"/>
      <c r="DH9" s="5"/>
      <c r="DI9" s="5"/>
    </row>
    <row r="10" spans="5:113" x14ac:dyDescent="0.25">
      <c r="E10" s="236" t="s">
        <v>15</v>
      </c>
      <c r="F10" s="222"/>
      <c r="G10" s="5" t="str">
        <f>'Midterm OVPAA-F-INS-055A RAW SC'!G10</f>
        <v>1st Sem</v>
      </c>
      <c r="H10" s="6"/>
      <c r="I10" s="3" t="s">
        <v>17</v>
      </c>
      <c r="J10" s="5"/>
      <c r="K10" s="228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36" t="s">
        <v>18</v>
      </c>
      <c r="T10" s="222"/>
      <c r="U10" s="222"/>
      <c r="V10" s="228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8"/>
      <c r="BM10" s="222"/>
      <c r="BN10" s="222"/>
      <c r="BO10" s="222"/>
      <c r="BP10" s="222"/>
      <c r="BQ10" s="5"/>
      <c r="BR10" s="5"/>
      <c r="BS10" s="5"/>
      <c r="BT10" s="2"/>
      <c r="BU10" s="6"/>
      <c r="BV10" s="228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8"/>
      <c r="DD10" s="222"/>
      <c r="DE10" s="222"/>
      <c r="DF10" s="222"/>
      <c r="DG10" s="222"/>
      <c r="DH10" s="5"/>
      <c r="DI10" s="5"/>
    </row>
    <row r="11" spans="5:113" x14ac:dyDescent="0.25">
      <c r="E11" s="236" t="s">
        <v>20</v>
      </c>
      <c r="F11" s="222"/>
      <c r="G11" s="6" t="str">
        <f>'Midterm OVPAA-F-INS-055A RAW SC'!G11</f>
        <v>2025-2026</v>
      </c>
      <c r="H11" s="6"/>
      <c r="I11" s="3" t="s">
        <v>70</v>
      </c>
      <c r="J11" s="5"/>
      <c r="K11" s="228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36" t="s">
        <v>24</v>
      </c>
      <c r="T11" s="222"/>
      <c r="U11" s="222"/>
      <c r="V11" s="228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8"/>
      <c r="BM11" s="222"/>
      <c r="BN11" s="222"/>
      <c r="BO11" s="222"/>
      <c r="BP11" s="222"/>
      <c r="BQ11" s="249"/>
      <c r="BR11" s="222"/>
      <c r="BS11" s="5"/>
      <c r="BT11" s="2"/>
      <c r="BU11" s="6"/>
      <c r="BV11" s="228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49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8"/>
      <c r="DD11" s="222"/>
      <c r="DE11" s="222"/>
      <c r="DF11" s="222"/>
      <c r="DG11" s="222"/>
      <c r="DH11" s="249"/>
      <c r="DI11" s="222"/>
    </row>
    <row r="12" spans="5:113" x14ac:dyDescent="0.25">
      <c r="E12" s="251" t="s">
        <v>26</v>
      </c>
      <c r="F12" s="231"/>
      <c r="G12" s="11" t="str">
        <f>'Midterm OVPAA-F-INS-055A RAW SC'!G12</f>
        <v>Czarissa Louise A. Navidad</v>
      </c>
      <c r="H12" s="2"/>
      <c r="I12" s="10" t="s">
        <v>28</v>
      </c>
      <c r="J12" s="11"/>
      <c r="K12" s="250" t="str">
        <f>'Midterm OVPAA-F-INS-055A RAW SC'!K12</f>
        <v>Dr. Marilou O. Espina</v>
      </c>
      <c r="L12" s="231"/>
      <c r="M12" s="231"/>
      <c r="N12" s="231"/>
      <c r="O12" s="23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37"/>
      <c r="Y12" s="23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0"/>
      <c r="BM12" s="231"/>
      <c r="BN12" s="231"/>
      <c r="BO12" s="231"/>
      <c r="BP12" s="231"/>
      <c r="BQ12" s="237"/>
      <c r="BR12" s="231"/>
      <c r="BS12" s="11"/>
      <c r="BT12" s="16"/>
      <c r="BU12" s="76"/>
      <c r="BV12" s="250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7"/>
      <c r="CQ12" s="231"/>
      <c r="CR12" s="231"/>
      <c r="CS12" s="231"/>
      <c r="CT12" s="15"/>
      <c r="CU12" s="15"/>
      <c r="CV12" s="15"/>
      <c r="CW12" s="15"/>
      <c r="CX12" s="11"/>
      <c r="CY12" s="11"/>
      <c r="CZ12" s="11"/>
      <c r="DA12" s="16"/>
      <c r="DB12" s="76"/>
      <c r="DC12" s="250"/>
      <c r="DD12" s="231"/>
      <c r="DE12" s="231"/>
      <c r="DF12" s="231"/>
      <c r="DG12" s="231"/>
      <c r="DH12" s="237"/>
      <c r="DI12" s="231"/>
    </row>
    <row r="13" spans="5:113" ht="15" customHeight="1" x14ac:dyDescent="0.25">
      <c r="E13" s="233" t="s">
        <v>31</v>
      </c>
      <c r="F13" s="233" t="s">
        <v>32</v>
      </c>
      <c r="G13" s="233" t="s">
        <v>33</v>
      </c>
      <c r="H13" s="259" t="s">
        <v>34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42"/>
      <c r="BW13" s="245" t="s">
        <v>35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42"/>
      <c r="CS13" s="246" t="s">
        <v>36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42"/>
      <c r="DE13" s="261" t="s">
        <v>71</v>
      </c>
      <c r="DF13" s="262"/>
      <c r="DG13" s="263"/>
      <c r="DH13" s="264" t="s">
        <v>92</v>
      </c>
      <c r="DI13" s="242"/>
    </row>
    <row r="14" spans="5:113" ht="15" customHeight="1" x14ac:dyDescent="0.25">
      <c r="E14" s="234"/>
      <c r="F14" s="234"/>
      <c r="G14" s="234"/>
      <c r="H14" s="260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44"/>
      <c r="BW14" s="243"/>
      <c r="BX14" s="231"/>
      <c r="BY14" s="231"/>
      <c r="BZ14" s="231"/>
      <c r="CA14" s="231"/>
      <c r="CB14" s="231"/>
      <c r="CC14" s="231"/>
      <c r="CD14" s="231"/>
      <c r="CE14" s="231"/>
      <c r="CF14" s="231"/>
      <c r="CG14" s="231"/>
      <c r="CH14" s="231"/>
      <c r="CI14" s="231"/>
      <c r="CJ14" s="231"/>
      <c r="CK14" s="231"/>
      <c r="CL14" s="231"/>
      <c r="CM14" s="231"/>
      <c r="CN14" s="231"/>
      <c r="CO14" s="231"/>
      <c r="CP14" s="231"/>
      <c r="CQ14" s="231"/>
      <c r="CR14" s="244"/>
      <c r="CS14" s="243"/>
      <c r="CT14" s="231"/>
      <c r="CU14" s="231"/>
      <c r="CV14" s="231"/>
      <c r="CW14" s="231"/>
      <c r="CX14" s="231"/>
      <c r="CY14" s="231"/>
      <c r="CZ14" s="231"/>
      <c r="DA14" s="231"/>
      <c r="DB14" s="231"/>
      <c r="DC14" s="231"/>
      <c r="DD14" s="244"/>
      <c r="DE14" s="77" t="s">
        <v>73</v>
      </c>
      <c r="DF14" s="78" t="s">
        <v>74</v>
      </c>
      <c r="DG14" s="79" t="s">
        <v>75</v>
      </c>
      <c r="DH14" s="243"/>
      <c r="DI14" s="244"/>
    </row>
    <row r="15" spans="5:113" x14ac:dyDescent="0.25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2" t="s">
        <v>76</v>
      </c>
      <c r="BV15" s="254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6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7" t="s">
        <v>76</v>
      </c>
      <c r="DD15" s="258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 x14ac:dyDescent="0.25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3"/>
      <c r="BV16" s="25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3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3"/>
      <c r="DD16" s="255"/>
      <c r="DE16" s="90"/>
      <c r="DF16" s="91"/>
      <c r="DG16" s="92"/>
      <c r="DH16" s="93"/>
      <c r="DI16" s="94"/>
    </row>
    <row r="17" spans="5:113" x14ac:dyDescent="0.25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x14ac:dyDescent="0.2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f>IF('Finalterm OVPAA-F-INS-055A RAW '!H18="","",'Finalterm OVPAA-F-INS-055A RAW '!H18/'Finalterm OVPAA-F-INS-055A RAW '!H$17*100)</f>
        <v>100</v>
      </c>
      <c r="I18" s="154">
        <f>IF('Finalterm OVPAA-F-INS-055A RAW '!I18="","",'Finalterm OVPAA-F-INS-055A RAW '!I18/'Finalterm OVPAA-F-INS-055A RAW '!I$17*100)</f>
        <v>100</v>
      </c>
      <c r="J18" s="154">
        <f>IF('Finalterm OVPAA-F-INS-055A RAW '!J18="","",'Finalterm OVPAA-F-INS-055A RAW '!J18/'Finalterm OVPAA-F-INS-055A RAW '!J$17*100)</f>
        <v>60</v>
      </c>
      <c r="K18" s="154">
        <f>IF('Finalterm OVPAA-F-INS-055A RAW '!K18="","",'Finalterm OVPAA-F-INS-055A RAW '!K18/'Finalterm OVPAA-F-INS-055A RAW '!K$17*100)</f>
        <v>100</v>
      </c>
      <c r="L18" s="154">
        <f>IF('Finalterm OVPAA-F-INS-055A RAW '!L18="","",'Finalterm OVPAA-F-INS-055A RAW '!L18/'Finalterm OVPAA-F-INS-055A RAW '!L$17*100)</f>
        <v>100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92</v>
      </c>
      <c r="BV18" s="156">
        <f>IF(BU18="","",VLOOKUP(BU18,IF('Midterm OVPAA-F-INS-055A RAW SC'!$V$12=0.5,TRANSMUTATION!$C$4:$D$17,TRANSMUTATION!$G$4:$H$17),2,TRUE))</f>
        <v>1.25</v>
      </c>
      <c r="BW18" s="112">
        <f>IF('Finalterm OVPAA-F-INS-055A RAW '!BU18="","",'Finalterm OVPAA-F-INS-055A RAW '!BU18/'Finalterm OVPAA-F-INS-055A RAW '!BU$17*100)</f>
        <v>95</v>
      </c>
      <c r="BX18" s="113">
        <f>IF('Finalterm OVPAA-F-INS-055A RAW '!BV18="","",'Finalterm OVPAA-F-INS-055A RAW '!BV18/'Finalterm OVPAA-F-INS-055A RAW '!BV$17*100)</f>
        <v>0</v>
      </c>
      <c r="BY18" s="113">
        <f>IF('Finalterm OVPAA-F-INS-055A RAW '!BW18="","",'Finalterm OVPAA-F-INS-055A RAW '!BW18/'Finalterm OVPAA-F-INS-055A RAW '!BW$17*100)</f>
        <v>100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str">
        <f>IF('Finalterm OVPAA-F-INS-055A RAW '!CN18="","",'Finalterm OVPAA-F-INS-055A RAW '!CN18/'Finalterm OVPAA-F-INS-055A RAW '!CN$17*100)</f>
        <v/>
      </c>
      <c r="CQ18" s="157">
        <f t="array" ref="CQ18">IF('Midterm OVPAA-F-INS-055A RAW SC'!G18="","",IF((SUMPRODUCT(--ISBLANK('Finalterm OVPAA-F-INS-055A RAW '!BU18:CN18))=COLUMNS('Finalterm OVPAA-F-INS-055A RAW '!BU18:CN18))=TRUE,"",(((COUNTA('Finalterm OVPAA-F-INS-055A RAW '!$BU$17:$CN$17)+COUNTBLANK('Finalterm OVPAA-F-INS-055A RAW '!BU18:CN18))-COLUMNS('Finalterm OVPAA-F-INS-055A RAW '!BU18:CN18))*5+SUM(BW18:CP18))/COUNTA('Finalterm OVPAA-F-INS-055A RAW '!$BU$17:$CN$17)))</f>
        <v>65</v>
      </c>
      <c r="CR18" s="116">
        <f>IF(CQ18="","",VLOOKUP(CQ18,IF('Midterm OVPAA-F-INS-055A RAW SC'!$V$12=0.5,TRANSMUTATION!$C$4:$D$17,TRANSMUTATION!$G$4:$H$17),2,TRUE))</f>
        <v>2.5</v>
      </c>
      <c r="CS18" s="158">
        <f>IF('Finalterm OVPAA-F-INS-055A RAW '!CO18="","",'Finalterm OVPAA-F-INS-055A RAW '!CO18/'Finalterm OVPAA-F-INS-055A RAW '!CO$17*100)</f>
        <v>100</v>
      </c>
      <c r="CT18" s="158">
        <f>IF('Finalterm OVPAA-F-INS-055A RAW '!CP18="","",'Finalterm OVPAA-F-INS-055A RAW '!CP18/'Finalterm OVPAA-F-INS-055A RAW '!CP$17*100)</f>
        <v>91.25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95.625</v>
      </c>
      <c r="DD18" s="160">
        <f>IF(DC18="","",VLOOKUP(DC18,IF('Midterm OVPAA-F-INS-055A RAW SC'!$V$12=0.5,TRANSMUTATION!$C$4:$D$17,TRANSMUTATION!$G$4:$H$17),2,TRUE))</f>
        <v>1.25</v>
      </c>
      <c r="DE18" s="120">
        <f t="shared" ref="DE18:DE117" si="1">IF(BV18="","",(BV18*DE$15))</f>
        <v>0.375</v>
      </c>
      <c r="DF18" s="161">
        <f t="shared" ref="DF18:DF117" si="2">IF(CR18="","",(CR18*DF$15))</f>
        <v>0.75</v>
      </c>
      <c r="DG18" s="162">
        <f t="shared" ref="DG18:DG117" si="3">IF(DD18="","",(DD18*DG$15))</f>
        <v>0.5</v>
      </c>
      <c r="DH18" s="163">
        <f t="shared" ref="DH18:DH117" si="4">IF($DF$15="",IF(OR(DE18="",DG18="")=TRUE,"",(SUM(DE18:DG18))),IF(OR(DE18="",DF18="",DG18="")=TRUE,"",(SUM(DE18:DG18))))</f>
        <v>1.625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1.50</v>
      </c>
    </row>
    <row r="19" spans="5:113" x14ac:dyDescent="0.2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f>IF('Finalterm OVPAA-F-INS-055A RAW '!BU19="","",'Finalterm OVPAA-F-INS-055A RAW '!BU19/'Finalterm OVPAA-F-INS-055A RAW '!BU$17*100)</f>
        <v>92</v>
      </c>
      <c r="BX19" s="130">
        <f>IF('Finalterm OVPAA-F-INS-055A RAW '!BV19="","",'Finalterm OVPAA-F-INS-055A RAW '!BV19/'Finalterm OVPAA-F-INS-055A RAW '!BV$17*100)</f>
        <v>100</v>
      </c>
      <c r="BY19" s="130">
        <f>IF('Finalterm OVPAA-F-INS-055A RAW '!BW19="","",'Finalterm OVPAA-F-INS-055A RAW '!BW19/'Finalterm OVPAA-F-INS-055A RAW '!BW$17*100)</f>
        <v>100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97.333333333333329</v>
      </c>
      <c r="CR19" s="132">
        <f>IF(CQ19="","",VLOOKUP(CQ19,IF('Midterm OVPAA-F-INS-055A RAW SC'!$V$12=0.5,TRANSMUTATION!$C$4:$D$17,TRANSMUTATION!$G$4:$H$17),2,TRUE))</f>
        <v>1</v>
      </c>
      <c r="CS19" s="133">
        <f>IF('Finalterm OVPAA-F-INS-055A RAW '!CO19="","",'Finalterm OVPAA-F-INS-055A RAW '!CO19/'Finalterm OVPAA-F-INS-055A RAW '!CO$17*100)</f>
        <v>100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86.25</v>
      </c>
      <c r="DD19" s="135">
        <f>IF(DC19="","",VLOOKUP(DC19,IF('Midterm OVPAA-F-INS-055A RAW SC'!$V$12=0.5,TRANSMUTATION!$C$4:$D$17,TRANSMUTATION!$G$4:$H$17),2,TRUE))</f>
        <v>1.5</v>
      </c>
      <c r="DE19" s="136">
        <f t="shared" si="1"/>
        <v>0.3</v>
      </c>
      <c r="DF19" s="166">
        <f t="shared" si="2"/>
        <v>0.3</v>
      </c>
      <c r="DG19" s="167">
        <f t="shared" si="3"/>
        <v>0.60000000000000009</v>
      </c>
      <c r="DH19" s="168">
        <f t="shared" si="4"/>
        <v>1.2000000000000002</v>
      </c>
      <c r="DI19" s="169" t="str">
        <f t="shared" si="5"/>
        <v>1.25</v>
      </c>
    </row>
    <row r="20" spans="5:113" x14ac:dyDescent="0.2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100</v>
      </c>
      <c r="I20" s="126">
        <f>IF('Finalterm OVPAA-F-INS-055A RAW '!I20="","",'Finalterm OVPAA-F-INS-055A RAW '!I20/'Finalterm OVPAA-F-INS-055A RAW '!I$17*100)</f>
        <v>100</v>
      </c>
      <c r="J20" s="126">
        <f>IF('Finalterm OVPAA-F-INS-055A RAW '!J20="","",'Finalterm OVPAA-F-INS-055A RAW '!J20/'Finalterm OVPAA-F-INS-055A RAW '!J$17*100)</f>
        <v>60</v>
      </c>
      <c r="K20" s="126">
        <f>IF('Finalterm OVPAA-F-INS-055A RAW '!K20="","",'Finalterm OVPAA-F-INS-055A RAW '!K20/'Finalterm OVPAA-F-INS-055A RAW '!K$17*100)</f>
        <v>100</v>
      </c>
      <c r="L20" s="126">
        <f>IF('Finalterm OVPAA-F-INS-055A RAW '!L20="","",'Finalterm OVPAA-F-INS-055A RAW '!L20/'Finalterm OVPAA-F-INS-055A RAW '!L$17*100)</f>
        <v>100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92</v>
      </c>
      <c r="BV20" s="165">
        <f>IF(BU20="","",VLOOKUP(BU20,IF('Midterm OVPAA-F-INS-055A RAW SC'!$V$12=0.5,TRANSMUTATION!$C$4:$D$17,TRANSMUTATION!$G$4:$H$17),2,TRUE))</f>
        <v>1.25</v>
      </c>
      <c r="BW20" s="129">
        <f>IF('Finalterm OVPAA-F-INS-055A RAW '!BU20="","",'Finalterm OVPAA-F-INS-055A RAW '!BU20/'Finalterm OVPAA-F-INS-055A RAW '!BU$17*100)</f>
        <v>87</v>
      </c>
      <c r="BX20" s="130">
        <f>IF('Finalterm OVPAA-F-INS-055A RAW '!BV20="","",'Finalterm OVPAA-F-INS-055A RAW '!BV20/'Finalterm OVPAA-F-INS-055A RAW '!BV$17*100)</f>
        <v>70</v>
      </c>
      <c r="BY20" s="130">
        <f>IF('Finalterm OVPAA-F-INS-055A RAW '!BW20="","",'Finalterm OVPAA-F-INS-055A RAW '!BW20/'Finalterm OVPAA-F-INS-055A RAW '!BW$17*100)</f>
        <v>100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85.666666666666671</v>
      </c>
      <c r="CR20" s="132">
        <f>IF(CQ20="","",VLOOKUP(CQ20,IF('Midterm OVPAA-F-INS-055A RAW SC'!$V$12=0.5,TRANSMUTATION!$C$4:$D$17,TRANSMUTATION!$G$4:$H$17),2,TRUE))</f>
        <v>1.75</v>
      </c>
      <c r="CS20" s="133">
        <f>IF('Finalterm OVPAA-F-INS-055A RAW '!CO20="","",'Finalterm OVPAA-F-INS-055A RAW '!CO20/'Finalterm OVPAA-F-INS-055A RAW '!CO$17*100)</f>
        <v>80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80.125</v>
      </c>
      <c r="DD20" s="135">
        <f>IF(DC20="","",VLOOKUP(DC20,IF('Midterm OVPAA-F-INS-055A RAW SC'!$V$12=0.5,TRANSMUTATION!$C$4:$D$17,TRANSMUTATION!$G$4:$H$17),2,TRUE))</f>
        <v>1.75</v>
      </c>
      <c r="DE20" s="136">
        <f t="shared" si="1"/>
        <v>0.375</v>
      </c>
      <c r="DF20" s="166">
        <f t="shared" si="2"/>
        <v>0.52500000000000002</v>
      </c>
      <c r="DG20" s="167">
        <f t="shared" si="3"/>
        <v>0.70000000000000007</v>
      </c>
      <c r="DH20" s="168">
        <f t="shared" si="4"/>
        <v>1.6</v>
      </c>
      <c r="DI20" s="169" t="str">
        <f t="shared" si="5"/>
        <v>1.50</v>
      </c>
    </row>
    <row r="21" spans="5:113" ht="15.75" customHeight="1" x14ac:dyDescent="0.25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100</v>
      </c>
      <c r="J21" s="126">
        <f>IF('Finalterm OVPAA-F-INS-055A RAW '!J21="","",'Finalterm OVPAA-F-INS-055A RAW '!J21/'Finalterm OVPAA-F-INS-055A RAW '!J$17*100)</f>
        <v>60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92</v>
      </c>
      <c r="BV21" s="165">
        <f>IF(BU21="","",VLOOKUP(BU21,IF('Midterm OVPAA-F-INS-055A RAW SC'!$V$12=0.5,TRANSMUTATION!$C$4:$D$17,TRANSMUTATION!$G$4:$H$17),2,TRUE))</f>
        <v>1.25</v>
      </c>
      <c r="BW21" s="129">
        <f>IF('Finalterm OVPAA-F-INS-055A RAW '!BU21="","",'Finalterm OVPAA-F-INS-055A RAW '!BU21/'Finalterm OVPAA-F-INS-055A RAW '!BU$17*100)</f>
        <v>84</v>
      </c>
      <c r="BX21" s="130">
        <f>IF('Finalterm OVPAA-F-INS-055A RAW '!BV21="","",'Finalterm OVPAA-F-INS-055A RAW '!BV21/'Finalterm OVPAA-F-INS-055A RAW '!BV$17*100)</f>
        <v>92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92</v>
      </c>
      <c r="CR21" s="132">
        <f>IF(CQ21="","",VLOOKUP(CQ21,IF('Midterm OVPAA-F-INS-055A RAW SC'!$V$12=0.5,TRANSMUTATION!$C$4:$D$17,TRANSMUTATION!$G$4:$H$17),2,TRUE))</f>
        <v>1.25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0.375</v>
      </c>
      <c r="DF21" s="166">
        <f t="shared" si="2"/>
        <v>0.375</v>
      </c>
      <c r="DG21" s="167">
        <f t="shared" si="3"/>
        <v>1</v>
      </c>
      <c r="DH21" s="168">
        <f t="shared" si="4"/>
        <v>1.75</v>
      </c>
      <c r="DI21" s="169" t="str">
        <f t="shared" si="5"/>
        <v>1.75</v>
      </c>
    </row>
    <row r="22" spans="5:113" ht="15.75" customHeight="1" x14ac:dyDescent="0.25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100</v>
      </c>
      <c r="K22" s="126">
        <f>IF('Finalterm OVPAA-F-INS-055A RAW '!K22="","",'Finalterm OVPAA-F-INS-055A RAW '!K22/'Finalterm OVPAA-F-INS-055A RAW '!K$17*100)</f>
        <v>100</v>
      </c>
      <c r="L22" s="126">
        <f>IF('Finalterm OVPAA-F-INS-055A RAW '!L22="","",'Finalterm OVPAA-F-INS-055A RAW '!L22/'Finalterm OVPAA-F-INS-055A RAW '!L$17*100)</f>
        <v>100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100</v>
      </c>
      <c r="BV22" s="165">
        <f>IF(BU22="","",VLOOKUP(BU22,IF('Midterm OVPAA-F-INS-055A RAW SC'!$V$12=0.5,TRANSMUTATION!$C$4:$D$17,TRANSMUTATION!$G$4:$H$17),2,TRUE))</f>
        <v>1</v>
      </c>
      <c r="BW22" s="129">
        <f>IF('Finalterm OVPAA-F-INS-055A RAW '!BU22="","",'Finalterm OVPAA-F-INS-055A RAW '!BU22/'Finalterm OVPAA-F-INS-055A RAW '!BU$17*100)</f>
        <v>92</v>
      </c>
      <c r="BX22" s="130">
        <f>IF('Finalterm OVPAA-F-INS-055A RAW '!BV22="","",'Finalterm OVPAA-F-INS-055A RAW '!BV22/'Finalterm OVPAA-F-INS-055A RAW '!BV$17*100)</f>
        <v>100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97.333333333333329</v>
      </c>
      <c r="CR22" s="132">
        <f>IF(CQ22="","",VLOOKUP(CQ22,IF('Midterm OVPAA-F-INS-055A RAW SC'!$V$12=0.5,TRANSMUTATION!$C$4:$D$17,TRANSMUTATION!$G$4:$H$17),2,TRUE))</f>
        <v>1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0.3</v>
      </c>
      <c r="DF22" s="166">
        <f t="shared" si="2"/>
        <v>0.3</v>
      </c>
      <c r="DG22" s="167">
        <f t="shared" si="3"/>
        <v>0.60000000000000009</v>
      </c>
      <c r="DH22" s="168">
        <f t="shared" si="4"/>
        <v>1.2000000000000002</v>
      </c>
      <c r="DI22" s="169" t="str">
        <f t="shared" si="5"/>
        <v>1.25</v>
      </c>
    </row>
    <row r="23" spans="5:113" ht="15.75" customHeight="1" x14ac:dyDescent="0.25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100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92</v>
      </c>
      <c r="BV23" s="165">
        <f>IF(BU23="","",VLOOKUP(BU23,IF('Midterm OVPAA-F-INS-055A RAW SC'!$V$12=0.5,TRANSMUTATION!$C$4:$D$17,TRANSMUTATION!$G$4:$H$17),2,TRUE))</f>
        <v>1.25</v>
      </c>
      <c r="BW23" s="129">
        <f>IF('Finalterm OVPAA-F-INS-055A RAW '!BU23="","",'Finalterm OVPAA-F-INS-055A RAW '!BU23/'Finalterm OVPAA-F-INS-055A RAW '!BU$17*100)</f>
        <v>95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100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65</v>
      </c>
      <c r="CR23" s="132">
        <f>IF(CQ23="","",VLOOKUP(CQ23,IF('Midterm OVPAA-F-INS-055A RAW SC'!$V$12=0.5,TRANSMUTATION!$C$4:$D$17,TRANSMUTATION!$G$4:$H$17),2,TRUE))</f>
        <v>2.5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0.375</v>
      </c>
      <c r="DF23" s="166">
        <f t="shared" si="2"/>
        <v>0.75</v>
      </c>
      <c r="DG23" s="167">
        <f t="shared" si="3"/>
        <v>0.5</v>
      </c>
      <c r="DH23" s="168">
        <f t="shared" si="4"/>
        <v>1.625</v>
      </c>
      <c r="DI23" s="169" t="str">
        <f t="shared" si="5"/>
        <v>1.50</v>
      </c>
    </row>
    <row r="24" spans="5:113" ht="15.75" customHeight="1" x14ac:dyDescent="0.25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100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92</v>
      </c>
      <c r="BV24" s="165">
        <f>IF(BU24="","",VLOOKUP(BU24,IF('Midterm OVPAA-F-INS-055A RAW SC'!$V$12=0.5,TRANSMUTATION!$C$4:$D$17,TRANSMUTATION!$G$4:$H$17),2,TRUE))</f>
        <v>1.25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100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58</v>
      </c>
      <c r="CR24" s="132">
        <f>IF(CQ24="","",VLOOKUP(CQ24,IF('Midterm OVPAA-F-INS-055A RAW SC'!$V$12=0.5,TRANSMUTATION!$C$4:$D$17,TRANSMUTATION!$G$4:$H$17),2,TRUE))</f>
        <v>2.75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0.375</v>
      </c>
      <c r="DF24" s="166">
        <f t="shared" si="2"/>
        <v>0.82499999999999996</v>
      </c>
      <c r="DG24" s="167">
        <f t="shared" si="3"/>
        <v>0.8</v>
      </c>
      <c r="DH24" s="168">
        <f t="shared" si="4"/>
        <v>2</v>
      </c>
      <c r="DI24" s="169" t="str">
        <f t="shared" si="5"/>
        <v>2.00</v>
      </c>
    </row>
    <row r="25" spans="5:113" ht="15.75" customHeight="1" x14ac:dyDescent="0.25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100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92</v>
      </c>
      <c r="BV25" s="165">
        <f>IF(BU25="","",VLOOKUP(BU25,IF('Midterm OVPAA-F-INS-055A RAW SC'!$V$12=0.5,TRANSMUTATION!$C$4:$D$17,TRANSMUTATION!$G$4:$H$17),2,TRUE))</f>
        <v>1.25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100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65</v>
      </c>
      <c r="CR25" s="132">
        <f>IF(CQ25="","",VLOOKUP(CQ25,IF('Midterm OVPAA-F-INS-055A RAW SC'!$V$12=0.5,TRANSMUTATION!$C$4:$D$17,TRANSMUTATION!$G$4:$H$17),2,TRUE))</f>
        <v>2.5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0.375</v>
      </c>
      <c r="DF25" s="166">
        <f t="shared" si="2"/>
        <v>0.75</v>
      </c>
      <c r="DG25" s="167">
        <f t="shared" si="3"/>
        <v>0.5</v>
      </c>
      <c r="DH25" s="168">
        <f t="shared" si="4"/>
        <v>1.625</v>
      </c>
      <c r="DI25" s="169" t="str">
        <f t="shared" si="5"/>
        <v>1.50</v>
      </c>
    </row>
    <row r="26" spans="5:113" ht="15.75" customHeight="1" x14ac:dyDescent="0.25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100</v>
      </c>
      <c r="I26" s="126">
        <f>IF('Finalterm OVPAA-F-INS-055A RAW '!I26="","",'Finalterm OVPAA-F-INS-055A RAW '!I26/'Finalterm OVPAA-F-INS-055A RAW '!I$17*100)</f>
        <v>100</v>
      </c>
      <c r="J26" s="126">
        <f>IF('Finalterm OVPAA-F-INS-055A RAW '!J26="","",'Finalterm OVPAA-F-INS-055A RAW '!J26/'Finalterm OVPAA-F-INS-055A RAW '!J$17*100)</f>
        <v>60</v>
      </c>
      <c r="K26" s="126">
        <f>IF('Finalterm OVPAA-F-INS-055A RAW '!K26="","",'Finalterm OVPAA-F-INS-055A RAW '!K26/'Finalterm OVPAA-F-INS-055A RAW '!K$17*100)</f>
        <v>100</v>
      </c>
      <c r="L26" s="126">
        <f>IF('Finalterm OVPAA-F-INS-055A RAW '!L26="","",'Finalterm OVPAA-F-INS-055A RAW '!L26/'Finalterm OVPAA-F-INS-055A RAW '!L$17*100)</f>
        <v>100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92</v>
      </c>
      <c r="BV26" s="165">
        <f>IF(BU26="","",VLOOKUP(BU26,IF('Midterm OVPAA-F-INS-055A RAW SC'!$V$12=0.5,TRANSMUTATION!$C$4:$D$17,TRANSMUTATION!$G$4:$H$17),2,TRUE))</f>
        <v>1.25</v>
      </c>
      <c r="BW26" s="129">
        <f>IF('Finalterm OVPAA-F-INS-055A RAW '!BU26="","",'Finalterm OVPAA-F-INS-055A RAW '!BU26/'Finalterm OVPAA-F-INS-055A RAW '!BU$17*100)</f>
        <v>84</v>
      </c>
      <c r="BX26" s="130">
        <f>IF('Finalterm OVPAA-F-INS-055A RAW '!BV26="","",'Finalterm OVPAA-F-INS-055A RAW '!BV26/'Finalterm OVPAA-F-INS-055A RAW '!BV$17*100)</f>
        <v>92</v>
      </c>
      <c r="BY26" s="130">
        <f>IF('Finalterm OVPAA-F-INS-055A RAW '!BW26="","",'Finalterm OVPAA-F-INS-055A RAW '!BW26/'Finalterm OVPAA-F-INS-055A RAW '!BW$17*100)</f>
        <v>100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92</v>
      </c>
      <c r="CR26" s="132">
        <f>IF(CQ26="","",VLOOKUP(CQ26,IF('Midterm OVPAA-F-INS-055A RAW SC'!$V$12=0.5,TRANSMUTATION!$C$4:$D$17,TRANSMUTATION!$G$4:$H$17),2,TRUE))</f>
        <v>1.25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0.375</v>
      </c>
      <c r="DF26" s="166">
        <f t="shared" si="2"/>
        <v>0.375</v>
      </c>
      <c r="DG26" s="167">
        <f t="shared" si="3"/>
        <v>1</v>
      </c>
      <c r="DH26" s="168">
        <f t="shared" si="4"/>
        <v>1.75</v>
      </c>
      <c r="DI26" s="169" t="str">
        <f t="shared" si="5"/>
        <v>1.75</v>
      </c>
    </row>
    <row r="27" spans="5:113" ht="15.75" customHeight="1" x14ac:dyDescent="0.25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 x14ac:dyDescent="0.25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 x14ac:dyDescent="0.25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 x14ac:dyDescent="0.25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 x14ac:dyDescent="0.25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 x14ac:dyDescent="0.25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 x14ac:dyDescent="0.25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 x14ac:dyDescent="0.25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 x14ac:dyDescent="0.25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 x14ac:dyDescent="0.25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 x14ac:dyDescent="0.25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 x14ac:dyDescent="0.25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 x14ac:dyDescent="0.25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 x14ac:dyDescent="0.25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 x14ac:dyDescent="0.25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 x14ac:dyDescent="0.25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 x14ac:dyDescent="0.25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 x14ac:dyDescent="0.25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 x14ac:dyDescent="0.25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 x14ac:dyDescent="0.25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 x14ac:dyDescent="0.25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 x14ac:dyDescent="0.25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 x14ac:dyDescent="0.25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 x14ac:dyDescent="0.25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 x14ac:dyDescent="0.25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 x14ac:dyDescent="0.25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 x14ac:dyDescent="0.25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 x14ac:dyDescent="0.25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 x14ac:dyDescent="0.25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 x14ac:dyDescent="0.25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 x14ac:dyDescent="0.25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 x14ac:dyDescent="0.25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 x14ac:dyDescent="0.25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 x14ac:dyDescent="0.25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 x14ac:dyDescent="0.25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 x14ac:dyDescent="0.25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 x14ac:dyDescent="0.25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 x14ac:dyDescent="0.25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 x14ac:dyDescent="0.25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 x14ac:dyDescent="0.25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 x14ac:dyDescent="0.25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 x14ac:dyDescent="0.25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 x14ac:dyDescent="0.25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 x14ac:dyDescent="0.25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 x14ac:dyDescent="0.25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 x14ac:dyDescent="0.25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 x14ac:dyDescent="0.25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 x14ac:dyDescent="0.25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 x14ac:dyDescent="0.25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 x14ac:dyDescent="0.25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 x14ac:dyDescent="0.25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 x14ac:dyDescent="0.25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 x14ac:dyDescent="0.25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 x14ac:dyDescent="0.25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 x14ac:dyDescent="0.25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 x14ac:dyDescent="0.25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 x14ac:dyDescent="0.25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 x14ac:dyDescent="0.25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 x14ac:dyDescent="0.25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 x14ac:dyDescent="0.25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 x14ac:dyDescent="0.25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 x14ac:dyDescent="0.25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 x14ac:dyDescent="0.25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 x14ac:dyDescent="0.25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 x14ac:dyDescent="0.25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 x14ac:dyDescent="0.25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 x14ac:dyDescent="0.25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 x14ac:dyDescent="0.25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 x14ac:dyDescent="0.25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 x14ac:dyDescent="0.25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 x14ac:dyDescent="0.25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 x14ac:dyDescent="0.25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 x14ac:dyDescent="0.25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 x14ac:dyDescent="0.25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 x14ac:dyDescent="0.25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 x14ac:dyDescent="0.25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 x14ac:dyDescent="0.25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 x14ac:dyDescent="0.25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 x14ac:dyDescent="0.25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 x14ac:dyDescent="0.25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 x14ac:dyDescent="0.25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 x14ac:dyDescent="0.25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 x14ac:dyDescent="0.25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 x14ac:dyDescent="0.25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 x14ac:dyDescent="0.25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 x14ac:dyDescent="0.25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 x14ac:dyDescent="0.25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 x14ac:dyDescent="0.25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 x14ac:dyDescent="0.25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 x14ac:dyDescent="0.25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 x14ac:dyDescent="0.25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 x14ac:dyDescent="0.2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 x14ac:dyDescent="0.2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 x14ac:dyDescent="0.2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 x14ac:dyDescent="0.2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 x14ac:dyDescent="0.2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 x14ac:dyDescent="0.2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 x14ac:dyDescent="0.2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 x14ac:dyDescent="0.2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 x14ac:dyDescent="0.2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 x14ac:dyDescent="0.2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 x14ac:dyDescent="0.2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 x14ac:dyDescent="0.2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 x14ac:dyDescent="0.2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 x14ac:dyDescent="0.2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 x14ac:dyDescent="0.2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 x14ac:dyDescent="0.2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 x14ac:dyDescent="0.2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 x14ac:dyDescent="0.2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 x14ac:dyDescent="0.2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 x14ac:dyDescent="0.2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 x14ac:dyDescent="0.2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 x14ac:dyDescent="0.2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 x14ac:dyDescent="0.2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 x14ac:dyDescent="0.2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 x14ac:dyDescent="0.2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 x14ac:dyDescent="0.2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 x14ac:dyDescent="0.2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 x14ac:dyDescent="0.2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 x14ac:dyDescent="0.2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 x14ac:dyDescent="0.2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 x14ac:dyDescent="0.2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 x14ac:dyDescent="0.2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 x14ac:dyDescent="0.2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 x14ac:dyDescent="0.2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 x14ac:dyDescent="0.2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 x14ac:dyDescent="0.2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 x14ac:dyDescent="0.2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 x14ac:dyDescent="0.2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 x14ac:dyDescent="0.2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 x14ac:dyDescent="0.2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 x14ac:dyDescent="0.2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 x14ac:dyDescent="0.2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 x14ac:dyDescent="0.2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 x14ac:dyDescent="0.2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 x14ac:dyDescent="0.2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 x14ac:dyDescent="0.2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 x14ac:dyDescent="0.2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 x14ac:dyDescent="0.2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 x14ac:dyDescent="0.2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 x14ac:dyDescent="0.2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 x14ac:dyDescent="0.2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 x14ac:dyDescent="0.2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 x14ac:dyDescent="0.2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 x14ac:dyDescent="0.2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 x14ac:dyDescent="0.2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 x14ac:dyDescent="0.2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 x14ac:dyDescent="0.2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 x14ac:dyDescent="0.2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 x14ac:dyDescent="0.2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 x14ac:dyDescent="0.2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 x14ac:dyDescent="0.2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 x14ac:dyDescent="0.2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 x14ac:dyDescent="0.2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 x14ac:dyDescent="0.2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 x14ac:dyDescent="0.2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 x14ac:dyDescent="0.2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 x14ac:dyDescent="0.2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 x14ac:dyDescent="0.2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 x14ac:dyDescent="0.2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 x14ac:dyDescent="0.2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 x14ac:dyDescent="0.2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 x14ac:dyDescent="0.2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 x14ac:dyDescent="0.2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 x14ac:dyDescent="0.2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 x14ac:dyDescent="0.2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 x14ac:dyDescent="0.2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 x14ac:dyDescent="0.2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 x14ac:dyDescent="0.2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 x14ac:dyDescent="0.2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 x14ac:dyDescent="0.2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 x14ac:dyDescent="0.2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 x14ac:dyDescent="0.2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 x14ac:dyDescent="0.2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 x14ac:dyDescent="0.2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 x14ac:dyDescent="0.2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 x14ac:dyDescent="0.2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 x14ac:dyDescent="0.2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 x14ac:dyDescent="0.2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 x14ac:dyDescent="0.2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 x14ac:dyDescent="0.2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 x14ac:dyDescent="0.2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 x14ac:dyDescent="0.2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 x14ac:dyDescent="0.2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 x14ac:dyDescent="0.2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 x14ac:dyDescent="0.2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 x14ac:dyDescent="0.2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 x14ac:dyDescent="0.2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 x14ac:dyDescent="0.2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 x14ac:dyDescent="0.2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 x14ac:dyDescent="0.2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 x14ac:dyDescent="0.2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 x14ac:dyDescent="0.2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 x14ac:dyDescent="0.2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 x14ac:dyDescent="0.2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 x14ac:dyDescent="0.2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 x14ac:dyDescent="0.2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 x14ac:dyDescent="0.2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 x14ac:dyDescent="0.2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 x14ac:dyDescent="0.2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 x14ac:dyDescent="0.2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 x14ac:dyDescent="0.2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 x14ac:dyDescent="0.2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 x14ac:dyDescent="0.2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 x14ac:dyDescent="0.2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 x14ac:dyDescent="0.2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 x14ac:dyDescent="0.2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 x14ac:dyDescent="0.2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 x14ac:dyDescent="0.2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 x14ac:dyDescent="0.2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 x14ac:dyDescent="0.2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 x14ac:dyDescent="0.2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 x14ac:dyDescent="0.2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 x14ac:dyDescent="0.2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 x14ac:dyDescent="0.2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 x14ac:dyDescent="0.2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 x14ac:dyDescent="0.2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 x14ac:dyDescent="0.2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 x14ac:dyDescent="0.2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 x14ac:dyDescent="0.2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 x14ac:dyDescent="0.2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 x14ac:dyDescent="0.2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 x14ac:dyDescent="0.2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 x14ac:dyDescent="0.2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 x14ac:dyDescent="0.2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 x14ac:dyDescent="0.2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 x14ac:dyDescent="0.2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 x14ac:dyDescent="0.2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 x14ac:dyDescent="0.2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 x14ac:dyDescent="0.2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 x14ac:dyDescent="0.2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 x14ac:dyDescent="0.2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 x14ac:dyDescent="0.2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 x14ac:dyDescent="0.2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 x14ac:dyDescent="0.2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 x14ac:dyDescent="0.2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 x14ac:dyDescent="0.2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 x14ac:dyDescent="0.2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 x14ac:dyDescent="0.2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 x14ac:dyDescent="0.2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 x14ac:dyDescent="0.2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 x14ac:dyDescent="0.2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 x14ac:dyDescent="0.2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 x14ac:dyDescent="0.2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 x14ac:dyDescent="0.2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 x14ac:dyDescent="0.2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 x14ac:dyDescent="0.2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 x14ac:dyDescent="0.2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 x14ac:dyDescent="0.2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 x14ac:dyDescent="0.2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 x14ac:dyDescent="0.2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 x14ac:dyDescent="0.2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 x14ac:dyDescent="0.2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 x14ac:dyDescent="0.2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 x14ac:dyDescent="0.2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 x14ac:dyDescent="0.2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 x14ac:dyDescent="0.2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 x14ac:dyDescent="0.2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 x14ac:dyDescent="0.2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 x14ac:dyDescent="0.2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 x14ac:dyDescent="0.2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 x14ac:dyDescent="0.2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 x14ac:dyDescent="0.2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 x14ac:dyDescent="0.2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 x14ac:dyDescent="0.2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 x14ac:dyDescent="0.2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 x14ac:dyDescent="0.2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 x14ac:dyDescent="0.2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 x14ac:dyDescent="0.2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 x14ac:dyDescent="0.2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 x14ac:dyDescent="0.2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 x14ac:dyDescent="0.2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 x14ac:dyDescent="0.2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 x14ac:dyDescent="0.2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 x14ac:dyDescent="0.2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 x14ac:dyDescent="0.2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 x14ac:dyDescent="0.2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 x14ac:dyDescent="0.2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 x14ac:dyDescent="0.2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 x14ac:dyDescent="0.2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 x14ac:dyDescent="0.2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 x14ac:dyDescent="0.2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 x14ac:dyDescent="0.2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 x14ac:dyDescent="0.2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 x14ac:dyDescent="0.2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 x14ac:dyDescent="0.2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 x14ac:dyDescent="0.2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 x14ac:dyDescent="0.2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 x14ac:dyDescent="0.2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 x14ac:dyDescent="0.2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W13:CR14"/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BL10:BP10"/>
    <mergeCell ref="BV10:CO10"/>
    <mergeCell ref="DC10:DG10"/>
    <mergeCell ref="E7:F7"/>
    <mergeCell ref="E8:F8"/>
    <mergeCell ref="K8:O8"/>
    <mergeCell ref="S8:W8"/>
    <mergeCell ref="E9:F9"/>
    <mergeCell ref="S9:W9"/>
    <mergeCell ref="E10:F10"/>
    <mergeCell ref="K10:O10"/>
    <mergeCell ref="E12:F12"/>
    <mergeCell ref="K12:O12"/>
    <mergeCell ref="X12:Y12"/>
    <mergeCell ref="E13:E17"/>
    <mergeCell ref="F13:F17"/>
    <mergeCell ref="G13:G17"/>
    <mergeCell ref="S10:U10"/>
    <mergeCell ref="V10:Z10"/>
    <mergeCell ref="H13:BV14"/>
    <mergeCell ref="BL9:BP9"/>
    <mergeCell ref="BV9:CO9"/>
    <mergeCell ref="DC9:DG9"/>
    <mergeCell ref="F2:DH2"/>
    <mergeCell ref="F3:DH3"/>
    <mergeCell ref="F4:DH4"/>
    <mergeCell ref="F6:DH6"/>
    <mergeCell ref="K7:O7"/>
    <mergeCell ref="S7:W7"/>
    <mergeCell ref="DC7:DG7"/>
    <mergeCell ref="K9:O9"/>
    <mergeCell ref="BL7:BP7"/>
    <mergeCell ref="BV7:CO7"/>
    <mergeCell ref="BL8:BP8"/>
    <mergeCell ref="BV8:CO8"/>
    <mergeCell ref="DC8:DG8"/>
    <mergeCell ref="E11:F11"/>
    <mergeCell ref="K11:O11"/>
    <mergeCell ref="S11:U11"/>
    <mergeCell ref="V11:Z11"/>
    <mergeCell ref="BL11:BP11"/>
    <mergeCell ref="CP11:CS11"/>
    <mergeCell ref="DC11:DG11"/>
    <mergeCell ref="DH11:DI11"/>
    <mergeCell ref="BL12:BP12"/>
    <mergeCell ref="BQ12:BR12"/>
    <mergeCell ref="BV12:CO12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10" workbookViewId="0">
      <selection activeCell="H22" sqref="H22"/>
    </sheetView>
  </sheetViews>
  <sheetFormatPr defaultColWidth="14.42578125" defaultRowHeight="15" customHeight="1" x14ac:dyDescent="0.25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 x14ac:dyDescent="0.25">
      <c r="A1" s="174" t="s">
        <v>54</v>
      </c>
    </row>
    <row r="2" spans="1:33" x14ac:dyDescent="0.25"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6.5" x14ac:dyDescent="0.25">
      <c r="B3" s="223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 x14ac:dyDescent="0.25">
      <c r="B4" s="224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 x14ac:dyDescent="0.2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 x14ac:dyDescent="0.3">
      <c r="A6" s="177"/>
      <c r="B6" s="274" t="s">
        <v>93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 x14ac:dyDescent="0.3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48"/>
      <c r="H7" s="248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 x14ac:dyDescent="0.3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48"/>
      <c r="H8" s="248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 x14ac:dyDescent="0.3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27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 x14ac:dyDescent="0.3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48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 x14ac:dyDescent="0.3">
      <c r="A11" s="189"/>
      <c r="B11" s="189"/>
      <c r="C11" s="181"/>
      <c r="D11" s="181"/>
      <c r="E11" s="181"/>
      <c r="F11" s="278" t="s">
        <v>99</v>
      </c>
      <c r="G11" s="248"/>
      <c r="H11" s="248"/>
      <c r="I11" s="248"/>
      <c r="J11" s="266"/>
      <c r="K11" s="278" t="s">
        <v>100</v>
      </c>
      <c r="L11" s="248"/>
      <c r="M11" s="248"/>
      <c r="N11" s="266"/>
      <c r="O11" s="279" t="s">
        <v>101</v>
      </c>
      <c r="P11" s="222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 x14ac:dyDescent="0.3">
      <c r="A12" s="191" t="s">
        <v>102</v>
      </c>
      <c r="B12" s="191" t="s">
        <v>103</v>
      </c>
      <c r="C12" s="278" t="s">
        <v>104</v>
      </c>
      <c r="D12" s="248"/>
      <c r="E12" s="266"/>
      <c r="F12" s="278" t="e">
        <f ca="1">_xludf.CONCAT(_xludf.CONCAT("CS (",'MidTerm OVPAA-F-INS-055B CLASS'!DE15*100),"%)")</f>
        <v>#NAME?</v>
      </c>
      <c r="G12" s="266"/>
      <c r="H12" s="192" t="str">
        <f ca="1">IFERROR(_xludf.CONCAT(_xludf.CONCAT("LAB (",'MidTerm OVPAA-F-INS-055B CLASS'!DF15*100),"%)"), "LAB (0%)")</f>
        <v>LAB (0%)</v>
      </c>
      <c r="I12" s="191" t="e">
        <f ca="1">_xludf.CONCAT(_xludf.CONCAT("MO (",'MidTerm OVPAA-F-INS-055B CLASS'!DG15*100),"%)")</f>
        <v>#NAME?</v>
      </c>
      <c r="J12" s="191" t="s">
        <v>105</v>
      </c>
      <c r="K12" s="191" t="e">
        <f ca="1">_xludf.CONCAT(_xludf.CONCAT("CS (",'Finalterm OVPAA-F-INS-055B CLAS'!DE15*100),"%)")</f>
        <v>#NAME?</v>
      </c>
      <c r="L12" s="191" t="str">
        <f ca="1">IFERROR(_xludf.CONCAT(_xludf.CONCAT("LAB (",'Finalterm OVPAA-F-INS-055B CLAS'!DF15*100),"%)"), "LAB (0%)")</f>
        <v>LAB (0%)</v>
      </c>
      <c r="M12" s="191" t="e">
        <f ca="1">_xludf.CONCAT(_xludf.CONCAT("MO (",'MidTerm OVPAA-F-INS-055B CLASS'!DG15*100),"%)")</f>
        <v>#NAME?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 x14ac:dyDescent="0.3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48"/>
      <c r="E13" s="266"/>
      <c r="F13" s="267">
        <f>'MidTerm OVPAA-F-INS-055B CLASS'!BV18</f>
        <v>1.5</v>
      </c>
      <c r="G13" s="266"/>
      <c r="H13" s="194">
        <f>'MidTerm OVPAA-F-INS-055B CLASS'!CR18</f>
        <v>1.25</v>
      </c>
      <c r="I13" s="195">
        <f>'MidTerm OVPAA-F-INS-055B CLASS'!DD18</f>
        <v>1.75</v>
      </c>
      <c r="J13" s="195" t="str">
        <f>'MidTerm OVPAA-F-INS-055B CLASS'!DI18</f>
        <v>1.50</v>
      </c>
      <c r="K13" s="195">
        <f>'Finalterm OVPAA-F-INS-055B CLAS'!BV18</f>
        <v>1.25</v>
      </c>
      <c r="L13" s="195">
        <f>'Finalterm OVPAA-F-INS-055B CLAS'!CR18</f>
        <v>2.5</v>
      </c>
      <c r="M13" s="195">
        <f>'Finalterm OVPAA-F-INS-055B CLAS'!DD18</f>
        <v>1.25</v>
      </c>
      <c r="N13" s="195" t="str">
        <f>'Finalterm OVPAA-F-INS-055B CLAS'!DI18</f>
        <v>1.50</v>
      </c>
      <c r="O13" s="195" t="str">
        <f t="shared" ref="O13:O112" si="0">J13</f>
        <v>1.50</v>
      </c>
      <c r="P13" s="195" t="str">
        <f t="shared" ref="P13:P112" si="1">N13</f>
        <v>1.50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1.50</v>
      </c>
      <c r="R13" s="196" t="s">
        <v>110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 x14ac:dyDescent="0.3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48"/>
      <c r="E14" s="266"/>
      <c r="F14" s="267">
        <f>'MidTerm OVPAA-F-INS-055B CLASS'!BV19</f>
        <v>1.75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1.75</v>
      </c>
      <c r="K14" s="195">
        <f>'Finalterm OVPAA-F-INS-055B CLAS'!BV19</f>
        <v>1</v>
      </c>
      <c r="L14" s="195">
        <f>'Finalterm OVPAA-F-INS-055B CLAS'!CR19</f>
        <v>1</v>
      </c>
      <c r="M14" s="195">
        <f>'Finalterm OVPAA-F-INS-055B CLAS'!DD19</f>
        <v>1.5</v>
      </c>
      <c r="N14" s="195" t="str">
        <f>'Finalterm OVPAA-F-INS-055B CLAS'!DI19</f>
        <v>1.25</v>
      </c>
      <c r="O14" s="195" t="str">
        <f t="shared" si="0"/>
        <v>1.75</v>
      </c>
      <c r="P14" s="195" t="str">
        <f t="shared" si="1"/>
        <v>1.25</v>
      </c>
      <c r="Q14" s="195" t="str">
        <f t="shared" si="2"/>
        <v>1.50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 x14ac:dyDescent="0.3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48"/>
      <c r="E15" s="266"/>
      <c r="F15" s="267">
        <f>'MidTerm OVPAA-F-INS-055B CLASS'!BV20</f>
        <v>1.25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1.25</v>
      </c>
      <c r="K15" s="195">
        <f>'Finalterm OVPAA-F-INS-055B CLAS'!BV20</f>
        <v>1.25</v>
      </c>
      <c r="L15" s="195">
        <f>'Finalterm OVPAA-F-INS-055B CLAS'!CR20</f>
        <v>1.75</v>
      </c>
      <c r="M15" s="195">
        <f>'Finalterm OVPAA-F-INS-055B CLAS'!DD20</f>
        <v>1.75</v>
      </c>
      <c r="N15" s="195" t="str">
        <f>'Finalterm OVPAA-F-INS-055B CLAS'!DI20</f>
        <v>1.50</v>
      </c>
      <c r="O15" s="195" t="str">
        <f t="shared" si="0"/>
        <v>1.25</v>
      </c>
      <c r="P15" s="195" t="str">
        <f t="shared" si="1"/>
        <v>1.50</v>
      </c>
      <c r="Q15" s="195" t="str">
        <f t="shared" si="2"/>
        <v>1.50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 x14ac:dyDescent="0.3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48"/>
      <c r="E16" s="266"/>
      <c r="F16" s="267">
        <f>'MidTerm OVPAA-F-INS-055B CLASS'!BV21</f>
        <v>3.25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2.50</v>
      </c>
      <c r="K16" s="195">
        <f>'Finalterm OVPAA-F-INS-055B CLAS'!BV21</f>
        <v>1.25</v>
      </c>
      <c r="L16" s="195">
        <f>'Finalterm OVPAA-F-INS-055B CLAS'!CR21</f>
        <v>1.25</v>
      </c>
      <c r="M16" s="195">
        <f>'Finalterm OVPAA-F-INS-055B CLAS'!DD21</f>
        <v>2.5</v>
      </c>
      <c r="N16" s="195" t="str">
        <f>'Finalterm OVPAA-F-INS-055B CLAS'!DI21</f>
        <v>1.75</v>
      </c>
      <c r="O16" s="195" t="str">
        <f t="shared" si="0"/>
        <v>2.50</v>
      </c>
      <c r="P16" s="195" t="str">
        <f t="shared" si="1"/>
        <v>1.75</v>
      </c>
      <c r="Q16" s="195" t="str">
        <f t="shared" si="2"/>
        <v>2.00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 x14ac:dyDescent="0.3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48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1</v>
      </c>
      <c r="L17" s="195">
        <f>'Finalterm OVPAA-F-INS-055B CLAS'!CR22</f>
        <v>1</v>
      </c>
      <c r="M17" s="195">
        <f>'Finalterm OVPAA-F-INS-055B CLAS'!DD22</f>
        <v>1.5</v>
      </c>
      <c r="N17" s="195" t="str">
        <f>'Finalterm OVPAA-F-INS-055B CLAS'!DI22</f>
        <v>1.25</v>
      </c>
      <c r="O17" s="195" t="str">
        <f t="shared" si="0"/>
        <v>1.75</v>
      </c>
      <c r="P17" s="195" t="str">
        <f t="shared" si="1"/>
        <v>1.25</v>
      </c>
      <c r="Q17" s="195" t="str">
        <f t="shared" si="2"/>
        <v>1.50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 x14ac:dyDescent="0.3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48"/>
      <c r="E18" s="266"/>
      <c r="F18" s="267">
        <f>'MidTerm OVPAA-F-INS-055B CLASS'!BV23</f>
        <v>1.5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1.50</v>
      </c>
      <c r="K18" s="195">
        <f>'Finalterm OVPAA-F-INS-055B CLAS'!BV23</f>
        <v>1.25</v>
      </c>
      <c r="L18" s="195">
        <f>'Finalterm OVPAA-F-INS-055B CLAS'!CR23</f>
        <v>2.5</v>
      </c>
      <c r="M18" s="195">
        <f>'Finalterm OVPAA-F-INS-055B CLAS'!DD23</f>
        <v>1.25</v>
      </c>
      <c r="N18" s="195" t="str">
        <f>'Finalterm OVPAA-F-INS-055B CLAS'!DI23</f>
        <v>1.50</v>
      </c>
      <c r="O18" s="195" t="str">
        <f t="shared" si="0"/>
        <v>1.50</v>
      </c>
      <c r="P18" s="195" t="str">
        <f t="shared" si="1"/>
        <v>1.50</v>
      </c>
      <c r="Q18" s="195" t="str">
        <f t="shared" si="2"/>
        <v>1.50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 x14ac:dyDescent="0.3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48"/>
      <c r="E19" s="266"/>
      <c r="F19" s="267">
        <f>'MidTerm OVPAA-F-INS-055B CLASS'!BV24</f>
        <v>2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2.00</v>
      </c>
      <c r="K19" s="195">
        <f>'Finalterm OVPAA-F-INS-055B CLAS'!BV24</f>
        <v>1.25</v>
      </c>
      <c r="L19" s="195">
        <f>'Finalterm OVPAA-F-INS-055B CLAS'!CR24</f>
        <v>2.75</v>
      </c>
      <c r="M19" s="195">
        <f>'Finalterm OVPAA-F-INS-055B CLAS'!DD24</f>
        <v>2</v>
      </c>
      <c r="N19" s="195" t="str">
        <f>'Finalterm OVPAA-F-INS-055B CLAS'!DI24</f>
        <v>2.00</v>
      </c>
      <c r="O19" s="195" t="str">
        <f t="shared" si="0"/>
        <v>2.00</v>
      </c>
      <c r="P19" s="195" t="str">
        <f t="shared" si="1"/>
        <v>2.00</v>
      </c>
      <c r="Q19" s="195" t="str">
        <f t="shared" si="2"/>
        <v>2.00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 x14ac:dyDescent="0.3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48"/>
      <c r="E20" s="266"/>
      <c r="F20" s="267">
        <f>'MidTerm OVPAA-F-INS-055B CLASS'!BV25</f>
        <v>1.5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1.50</v>
      </c>
      <c r="K20" s="195">
        <f>'Finalterm OVPAA-F-INS-055B CLAS'!BV25</f>
        <v>1.25</v>
      </c>
      <c r="L20" s="195">
        <f>'Finalterm OVPAA-F-INS-055B CLAS'!CR25</f>
        <v>2.5</v>
      </c>
      <c r="M20" s="195">
        <f>'Finalterm OVPAA-F-INS-055B CLAS'!DD25</f>
        <v>1.25</v>
      </c>
      <c r="N20" s="195" t="str">
        <f>'Finalterm OVPAA-F-INS-055B CLAS'!DI25</f>
        <v>1.50</v>
      </c>
      <c r="O20" s="195" t="str">
        <f t="shared" si="0"/>
        <v>1.50</v>
      </c>
      <c r="P20" s="195" t="str">
        <f t="shared" si="1"/>
        <v>1.50</v>
      </c>
      <c r="Q20" s="195" t="str">
        <f t="shared" si="2"/>
        <v>1.50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 x14ac:dyDescent="0.3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48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1.25</v>
      </c>
      <c r="L21" s="195">
        <f>'Finalterm OVPAA-F-INS-055B CLAS'!CR26</f>
        <v>1.25</v>
      </c>
      <c r="M21" s="195">
        <f>'Finalterm OVPAA-F-INS-055B CLAS'!DD26</f>
        <v>2.5</v>
      </c>
      <c r="N21" s="195" t="str">
        <f>'Finalterm OVPAA-F-INS-055B CLAS'!DI26</f>
        <v>1.75</v>
      </c>
      <c r="O21" s="195" t="str">
        <f t="shared" si="0"/>
        <v>2.25</v>
      </c>
      <c r="P21" s="195" t="str">
        <f t="shared" si="1"/>
        <v>1.75</v>
      </c>
      <c r="Q21" s="195" t="str">
        <f t="shared" si="2"/>
        <v>2.00</v>
      </c>
      <c r="R21" s="196" t="s">
        <v>110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 x14ac:dyDescent="0.3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48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 x14ac:dyDescent="0.3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48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 x14ac:dyDescent="0.3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48"/>
      <c r="E24" s="266"/>
      <c r="F24" s="267">
        <f>'MidTerm OVPAA-F-INS-055B CLASS'!BV29</f>
        <v>2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 x14ac:dyDescent="0.3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48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 x14ac:dyDescent="0.3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48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 x14ac:dyDescent="0.3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48"/>
      <c r="E27" s="266"/>
      <c r="F27" s="267">
        <f>'MidTerm OVPAA-F-INS-055B CLASS'!BV32</f>
        <v>1.25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 x14ac:dyDescent="0.3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48"/>
      <c r="E28" s="266"/>
      <c r="F28" s="267">
        <f>'MidTerm OVPAA-F-INS-055B CLASS'!BV33</f>
        <v>2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2.00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2.00</v>
      </c>
      <c r="P28" s="195" t="str">
        <f t="shared" si="1"/>
        <v>1.75</v>
      </c>
      <c r="Q28" s="195" t="str">
        <f t="shared" si="2"/>
        <v>1.75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 x14ac:dyDescent="0.3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48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 x14ac:dyDescent="0.3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48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 x14ac:dyDescent="0.3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48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 x14ac:dyDescent="0.3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48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 x14ac:dyDescent="0.3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48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 x14ac:dyDescent="0.3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48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 x14ac:dyDescent="0.3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48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 x14ac:dyDescent="0.3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48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 x14ac:dyDescent="0.3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48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 x14ac:dyDescent="0.3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48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 x14ac:dyDescent="0.3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48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 x14ac:dyDescent="0.3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48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 x14ac:dyDescent="0.3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48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 x14ac:dyDescent="0.3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48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 x14ac:dyDescent="0.3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48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 x14ac:dyDescent="0.3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48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 x14ac:dyDescent="0.3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48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 x14ac:dyDescent="0.3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48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 x14ac:dyDescent="0.3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48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 x14ac:dyDescent="0.3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48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 x14ac:dyDescent="0.3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48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 x14ac:dyDescent="0.3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48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 x14ac:dyDescent="0.3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48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 x14ac:dyDescent="0.3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48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 x14ac:dyDescent="0.3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48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 x14ac:dyDescent="0.3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48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 x14ac:dyDescent="0.3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48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 x14ac:dyDescent="0.3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48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 x14ac:dyDescent="0.3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48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 x14ac:dyDescent="0.3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48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 x14ac:dyDescent="0.3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48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 x14ac:dyDescent="0.3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48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 x14ac:dyDescent="0.3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48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 x14ac:dyDescent="0.3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48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 x14ac:dyDescent="0.3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48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 x14ac:dyDescent="0.3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48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 x14ac:dyDescent="0.3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48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 x14ac:dyDescent="0.3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48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 x14ac:dyDescent="0.3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48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 x14ac:dyDescent="0.3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48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 x14ac:dyDescent="0.3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48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 x14ac:dyDescent="0.3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48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 x14ac:dyDescent="0.3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48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 x14ac:dyDescent="0.3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48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 x14ac:dyDescent="0.3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48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 x14ac:dyDescent="0.3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48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 x14ac:dyDescent="0.3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48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 x14ac:dyDescent="0.3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48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 x14ac:dyDescent="0.3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48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 x14ac:dyDescent="0.3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48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 x14ac:dyDescent="0.3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48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 x14ac:dyDescent="0.3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48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 x14ac:dyDescent="0.3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48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 x14ac:dyDescent="0.3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48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 x14ac:dyDescent="0.3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48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 x14ac:dyDescent="0.3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48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 x14ac:dyDescent="0.3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48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 x14ac:dyDescent="0.3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48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 x14ac:dyDescent="0.3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48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 x14ac:dyDescent="0.3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48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 x14ac:dyDescent="0.3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48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 x14ac:dyDescent="0.3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48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 x14ac:dyDescent="0.3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48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 x14ac:dyDescent="0.3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48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 x14ac:dyDescent="0.3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48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 x14ac:dyDescent="0.3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48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 x14ac:dyDescent="0.3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48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 x14ac:dyDescent="0.3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48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 x14ac:dyDescent="0.3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48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 x14ac:dyDescent="0.3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48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 x14ac:dyDescent="0.3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48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 x14ac:dyDescent="0.3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48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 x14ac:dyDescent="0.3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48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 x14ac:dyDescent="0.3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48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 x14ac:dyDescent="0.3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48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 x14ac:dyDescent="0.3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48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 x14ac:dyDescent="0.3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48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 x14ac:dyDescent="0.3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48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 x14ac:dyDescent="0.3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48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 x14ac:dyDescent="0.3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48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 x14ac:dyDescent="0.3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48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 x14ac:dyDescent="0.3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48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 x14ac:dyDescent="0.3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48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 x14ac:dyDescent="0.3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48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 x14ac:dyDescent="0.3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 x14ac:dyDescent="0.3">
      <c r="A114" s="271" t="s">
        <v>111</v>
      </c>
      <c r="B114" s="222"/>
      <c r="C114" s="181"/>
      <c r="D114" s="181" t="s">
        <v>112</v>
      </c>
      <c r="E114" s="181"/>
      <c r="F114" s="271"/>
      <c r="G114" s="222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 x14ac:dyDescent="0.3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 x14ac:dyDescent="0.3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 x14ac:dyDescent="0.25">
      <c r="A117" s="272" t="str">
        <f>'Midterm OVPAA-F-INS-055A RAW SC'!G12</f>
        <v>Czarissa Louise A. Navidad</v>
      </c>
      <c r="B117" s="222"/>
      <c r="C117" s="222"/>
      <c r="D117" s="272" t="str">
        <f>'Midterm OVPAA-F-INS-055A RAW SC'!K11</f>
        <v>Dr. Sales G. Aribe, Jr.</v>
      </c>
      <c r="E117" s="222"/>
      <c r="F117" s="222"/>
      <c r="G117" s="222"/>
      <c r="H117" s="200"/>
      <c r="I117" s="272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 x14ac:dyDescent="0.25">
      <c r="A118" s="273" t="s">
        <v>114</v>
      </c>
      <c r="B118" s="222"/>
      <c r="C118" s="222"/>
      <c r="D118" s="273" t="str">
        <f>CONCATENATE("Department Head, ",'Midterm OVPAA-F-INS-055A RAW SC'!V10)</f>
        <v>Department Head, Information Technology</v>
      </c>
      <c r="E118" s="222"/>
      <c r="F118" s="222"/>
      <c r="G118" s="222"/>
      <c r="H118" s="201"/>
      <c r="I118" s="273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 x14ac:dyDescent="0.3">
      <c r="A119" s="268" t="s">
        <v>115</v>
      </c>
      <c r="B119" s="222"/>
      <c r="C119" s="222"/>
      <c r="D119" s="268" t="s">
        <v>115</v>
      </c>
      <c r="E119" s="222"/>
      <c r="F119" s="222"/>
      <c r="G119" s="203"/>
      <c r="H119" s="203"/>
      <c r="I119" s="268" t="s">
        <v>115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 x14ac:dyDescent="0.25"/>
    <row r="121" spans="1:33" ht="15.75" customHeight="1" x14ac:dyDescent="0.25">
      <c r="A121" s="269"/>
      <c r="B121" s="222"/>
      <c r="C121" s="222"/>
      <c r="D121" s="270"/>
      <c r="E121" s="222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 x14ac:dyDescent="0.25"/>
    <row r="126" spans="1:33" ht="15.75" customHeight="1" x14ac:dyDescent="0.25"/>
    <row r="127" spans="1:33" ht="15.75" customHeight="1" x14ac:dyDescent="0.25"/>
    <row r="128" spans="1:3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A119:C119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/>
  <headerFooter>
    <oddFooter>&amp;LDocument Code: OVPAA-F-INS-056&amp;CRevision No.: 04                Issue Date: September 16, 2024&amp;R Page 1 of 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 x14ac:dyDescent="0.25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 x14ac:dyDescent="0.25">
      <c r="A2" s="5" t="s">
        <v>16</v>
      </c>
      <c r="B2" s="5" t="s">
        <v>120</v>
      </c>
    </row>
    <row r="3" spans="1:6" x14ac:dyDescent="0.25">
      <c r="A3" s="5" t="s">
        <v>121</v>
      </c>
      <c r="B3" s="5" t="s">
        <v>122</v>
      </c>
      <c r="C3" s="2" t="s">
        <v>123</v>
      </c>
    </row>
    <row r="4" spans="1:6" x14ac:dyDescent="0.25">
      <c r="B4" s="5" t="s">
        <v>124</v>
      </c>
      <c r="C4" s="2" t="s">
        <v>125</v>
      </c>
    </row>
    <row r="5" spans="1:6" x14ac:dyDescent="0.25">
      <c r="C5" s="2" t="s">
        <v>126</v>
      </c>
    </row>
    <row r="6" spans="1:6" x14ac:dyDescent="0.25">
      <c r="C6" s="2" t="s">
        <v>119</v>
      </c>
    </row>
    <row r="7" spans="1:6" x14ac:dyDescent="0.25">
      <c r="C7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 x14ac:dyDescent="0.25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 x14ac:dyDescent="0.25">
      <c r="B1" s="281" t="s">
        <v>127</v>
      </c>
      <c r="C1" s="222"/>
      <c r="D1" s="222"/>
      <c r="F1" s="281" t="s">
        <v>128</v>
      </c>
      <c r="G1" s="222"/>
      <c r="H1" s="222"/>
    </row>
    <row r="2" spans="2:8" ht="15" customHeight="1" x14ac:dyDescent="0.25">
      <c r="B2" s="222"/>
      <c r="C2" s="222"/>
      <c r="D2" s="222"/>
      <c r="F2" s="222"/>
      <c r="G2" s="222"/>
      <c r="H2" s="222"/>
    </row>
    <row r="3" spans="2:8" x14ac:dyDescent="0.25">
      <c r="C3" s="3" t="s">
        <v>129</v>
      </c>
      <c r="D3" s="3" t="s">
        <v>130</v>
      </c>
      <c r="G3" s="3" t="s">
        <v>129</v>
      </c>
      <c r="H3" s="3" t="s">
        <v>130</v>
      </c>
    </row>
    <row r="4" spans="2:8" x14ac:dyDescent="0.25">
      <c r="C4" s="205">
        <v>0</v>
      </c>
      <c r="D4" s="206">
        <v>5</v>
      </c>
      <c r="G4" s="205">
        <v>0</v>
      </c>
      <c r="H4" s="207">
        <v>5</v>
      </c>
    </row>
    <row r="5" spans="2:8" x14ac:dyDescent="0.25">
      <c r="C5" s="64">
        <v>26</v>
      </c>
      <c r="D5" s="208">
        <v>4</v>
      </c>
      <c r="G5" s="64">
        <v>40</v>
      </c>
      <c r="H5" s="209">
        <v>4</v>
      </c>
    </row>
    <row r="6" spans="2:8" x14ac:dyDescent="0.25">
      <c r="C6" s="64">
        <v>32</v>
      </c>
      <c r="D6" s="208">
        <v>3.75</v>
      </c>
      <c r="G6" s="64">
        <v>45</v>
      </c>
      <c r="H6" s="209">
        <v>3.75</v>
      </c>
    </row>
    <row r="7" spans="2:8" x14ac:dyDescent="0.25">
      <c r="C7" s="64">
        <v>38</v>
      </c>
      <c r="D7" s="208">
        <v>3.5</v>
      </c>
      <c r="G7" s="64">
        <v>50</v>
      </c>
      <c r="H7" s="209">
        <v>3.5</v>
      </c>
    </row>
    <row r="8" spans="2:8" x14ac:dyDescent="0.25">
      <c r="C8" s="64">
        <v>44</v>
      </c>
      <c r="D8" s="208">
        <v>3.25</v>
      </c>
      <c r="G8" s="64">
        <v>55</v>
      </c>
      <c r="H8" s="209">
        <v>3.25</v>
      </c>
    </row>
    <row r="9" spans="2:8" x14ac:dyDescent="0.25">
      <c r="C9" s="64">
        <v>50</v>
      </c>
      <c r="D9" s="208">
        <v>3</v>
      </c>
      <c r="G9" s="64">
        <v>60</v>
      </c>
      <c r="H9" s="209">
        <v>3</v>
      </c>
    </row>
    <row r="10" spans="2:8" x14ac:dyDescent="0.25">
      <c r="C10" s="64">
        <v>56</v>
      </c>
      <c r="D10" s="208">
        <v>2.75</v>
      </c>
      <c r="G10" s="64">
        <v>65</v>
      </c>
      <c r="H10" s="209">
        <v>2.75</v>
      </c>
    </row>
    <row r="11" spans="2:8" x14ac:dyDescent="0.25">
      <c r="C11" s="64">
        <v>62</v>
      </c>
      <c r="D11" s="208">
        <v>2.5</v>
      </c>
      <c r="G11" s="64">
        <v>70</v>
      </c>
      <c r="H11" s="209">
        <v>2.5</v>
      </c>
    </row>
    <row r="12" spans="2:8" x14ac:dyDescent="0.25">
      <c r="C12" s="64">
        <v>68</v>
      </c>
      <c r="D12" s="208">
        <v>2.25</v>
      </c>
      <c r="G12" s="64">
        <v>75</v>
      </c>
      <c r="H12" s="209">
        <v>2.25</v>
      </c>
    </row>
    <row r="13" spans="2:8" x14ac:dyDescent="0.25">
      <c r="C13" s="64">
        <v>74</v>
      </c>
      <c r="D13" s="208">
        <v>2</v>
      </c>
      <c r="G13" s="64">
        <v>80</v>
      </c>
      <c r="H13" s="209">
        <v>2</v>
      </c>
    </row>
    <row r="14" spans="2:8" x14ac:dyDescent="0.25">
      <c r="C14" s="64">
        <v>80</v>
      </c>
      <c r="D14" s="208">
        <v>1.75</v>
      </c>
      <c r="G14" s="64">
        <v>85</v>
      </c>
      <c r="H14" s="209">
        <v>1.75</v>
      </c>
    </row>
    <row r="15" spans="2:8" x14ac:dyDescent="0.25">
      <c r="C15" s="64">
        <v>86</v>
      </c>
      <c r="D15" s="208">
        <v>1.5</v>
      </c>
      <c r="G15" s="64">
        <v>89</v>
      </c>
      <c r="H15" s="209">
        <v>1.5</v>
      </c>
    </row>
    <row r="16" spans="2:8" x14ac:dyDescent="0.25">
      <c r="C16" s="64">
        <v>91</v>
      </c>
      <c r="D16" s="208">
        <v>1.25</v>
      </c>
      <c r="G16" s="64">
        <v>93</v>
      </c>
      <c r="H16" s="209">
        <v>1.25</v>
      </c>
    </row>
    <row r="17" spans="2:8" x14ac:dyDescent="0.25">
      <c r="C17" s="63">
        <v>96</v>
      </c>
      <c r="D17" s="210">
        <v>1</v>
      </c>
      <c r="G17" s="63">
        <v>97</v>
      </c>
      <c r="H17" s="211">
        <v>1</v>
      </c>
    </row>
    <row r="19" spans="2:8" x14ac:dyDescent="0.25">
      <c r="B19" s="3" t="s">
        <v>131</v>
      </c>
      <c r="C19" s="5" t="s">
        <v>132</v>
      </c>
      <c r="E19" s="212"/>
    </row>
    <row r="20" spans="2:8" ht="6" customHeight="1" x14ac:dyDescent="0.25"/>
    <row r="21" spans="2:8" ht="15.75" customHeight="1" x14ac:dyDescent="0.25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 x14ac:dyDescent="0.25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 x14ac:dyDescent="0.25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 x14ac:dyDescent="0.25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 x14ac:dyDescent="0.25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 x14ac:dyDescent="0.25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 x14ac:dyDescent="0.25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 x14ac:dyDescent="0.25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 x14ac:dyDescent="0.25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 x14ac:dyDescent="0.25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 x14ac:dyDescent="0.25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 x14ac:dyDescent="0.25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 x14ac:dyDescent="0.25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 x14ac:dyDescent="0.25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 x14ac:dyDescent="0.25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 x14ac:dyDescent="0.25"/>
    <row r="37" spans="2:8" ht="15.75" customHeight="1" x14ac:dyDescent="0.25"/>
    <row r="38" spans="2:8" ht="15.75" customHeight="1" x14ac:dyDescent="0.25"/>
    <row r="39" spans="2:8" ht="15.75" customHeight="1" x14ac:dyDescent="0.25">
      <c r="E39" s="212"/>
    </row>
    <row r="40" spans="2:8" ht="15.75" customHeight="1" x14ac:dyDescent="0.25">
      <c r="E40" s="212"/>
    </row>
    <row r="41" spans="2:8" ht="15.75" customHeight="1" x14ac:dyDescent="0.25">
      <c r="E41" s="212"/>
    </row>
    <row r="42" spans="2:8" ht="15.75" customHeight="1" x14ac:dyDescent="0.25">
      <c r="E42" s="212"/>
    </row>
    <row r="43" spans="2:8" ht="15.75" customHeight="1" x14ac:dyDescent="0.25">
      <c r="E43" s="212"/>
    </row>
    <row r="44" spans="2:8" ht="15.75" customHeight="1" x14ac:dyDescent="0.25">
      <c r="E44" s="212"/>
    </row>
    <row r="45" spans="2:8" ht="15.75" customHeight="1" x14ac:dyDescent="0.25">
      <c r="E45" s="212"/>
    </row>
    <row r="46" spans="2:8" ht="15.75" customHeight="1" x14ac:dyDescent="0.25">
      <c r="E46" s="212"/>
    </row>
    <row r="47" spans="2:8" ht="15.75" customHeight="1" x14ac:dyDescent="0.25">
      <c r="E47" s="212"/>
    </row>
    <row r="48" spans="2:8" ht="15.75" customHeight="1" x14ac:dyDescent="0.25">
      <c r="E48" s="212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2026-03-16T12:49:02Z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