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B7CA6C0C-3628-4DCE-885F-A64762F0785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G18" i="4" l="1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M12" i="5"/>
  <c r="L12" i="5"/>
  <c r="K12" i="5"/>
  <c r="I12" i="5"/>
  <c r="H12" i="5"/>
  <c r="F12" i="5"/>
  <c r="C10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Q18" i="4" a="1"/>
  <c r="CQ18" i="4" s="1"/>
  <c r="CR18" i="4" s="1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CQ18" i="2" a="1"/>
  <c r="CQ18" i="2" s="1"/>
  <c r="CR18" i="2" s="1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DG18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H18" i="2" l="1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<sst xmlns="http://schemas.openxmlformats.org/spreadsheetml/2006/main" count="453" uniqueCount="135">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</sst>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2" xfId="0" applyFont="1" applyBorder="1"/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1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0" zoomScale="79" workbookViewId="0"/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33" t="s">
        <v>0</v>
      </c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6.5">
      <c r="E3" s="234" t="s">
        <v>1</v>
      </c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>
      <c r="E4" s="235" t="s">
        <v>2</v>
      </c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65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>
      <c r="E7" s="250" t="s">
        <v>3</v>
      </c>
      <c r="F7" s="222"/>
      <c r="G7" s="4" t="s">
        <v>4</v>
      </c>
      <c r="H7" s="5"/>
      <c r="I7" s="3" t="s">
        <v>5</v>
      </c>
      <c r="J7" s="5"/>
      <c r="K7" s="251" t="s">
        <v>6</v>
      </c>
      <c r="L7" s="237"/>
      <c r="M7" s="237"/>
      <c r="N7" s="237"/>
      <c r="O7" s="237"/>
      <c r="P7" s="5"/>
      <c r="Q7" s="2"/>
      <c r="R7" s="6"/>
      <c r="S7" s="257"/>
      <c r="T7" s="222"/>
      <c r="U7" s="222"/>
      <c r="V7" s="222"/>
      <c r="W7" s="222"/>
      <c r="X7" s="5"/>
      <c r="Y7" s="5"/>
      <c r="Z7" s="5"/>
      <c r="AA7" s="2"/>
      <c r="AB7" s="6"/>
      <c r="AC7" s="257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0" t="s">
        <v>7</v>
      </c>
      <c r="F8" s="222"/>
      <c r="G8" s="7" t="s">
        <v>8</v>
      </c>
      <c r="H8" s="5"/>
      <c r="I8" s="3" t="s">
        <v>9</v>
      </c>
      <c r="J8" s="5"/>
      <c r="K8" s="251" t="s">
        <v>10</v>
      </c>
      <c r="L8" s="237"/>
      <c r="M8" s="237"/>
      <c r="N8" s="237"/>
      <c r="O8" s="237"/>
      <c r="P8" s="5"/>
      <c r="Q8" s="2"/>
      <c r="R8" s="6"/>
      <c r="S8" s="257"/>
      <c r="T8" s="222"/>
      <c r="U8" s="222"/>
      <c r="V8" s="222"/>
      <c r="W8" s="222"/>
      <c r="X8" s="5"/>
      <c r="Y8" s="5"/>
      <c r="Z8" s="5"/>
      <c r="AA8" s="2"/>
      <c r="AB8" s="6"/>
      <c r="AC8" s="257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0" t="s">
        <v>11</v>
      </c>
      <c r="F9" s="222"/>
      <c r="G9" s="7" t="s">
        <v>12</v>
      </c>
      <c r="H9" s="5"/>
      <c r="I9" s="3" t="s">
        <v>13</v>
      </c>
      <c r="J9" s="5"/>
      <c r="K9" s="251" t="s">
        <v>14</v>
      </c>
      <c r="L9" s="237"/>
      <c r="M9" s="237"/>
      <c r="N9" s="237"/>
      <c r="O9" s="237"/>
      <c r="P9" s="5"/>
      <c r="Q9" s="2"/>
      <c r="R9" s="6"/>
      <c r="S9" s="257"/>
      <c r="T9" s="222"/>
      <c r="U9" s="222"/>
      <c r="V9" s="222"/>
      <c r="W9" s="222"/>
      <c r="X9" s="5"/>
      <c r="Y9" s="5"/>
      <c r="Z9" s="5"/>
      <c r="AA9" s="2"/>
      <c r="AB9" s="6"/>
      <c r="AC9" s="257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0" t="s">
        <v>15</v>
      </c>
      <c r="F10" s="222"/>
      <c r="G10" s="7" t="s">
        <v>16</v>
      </c>
      <c r="H10" s="5"/>
      <c r="I10" s="3" t="s">
        <v>17</v>
      </c>
      <c r="J10" s="5"/>
      <c r="K10" s="264">
        <v>3</v>
      </c>
      <c r="L10" s="237"/>
      <c r="M10" s="237"/>
      <c r="N10" s="237"/>
      <c r="O10" s="237"/>
      <c r="P10" s="5"/>
      <c r="Q10" s="2"/>
      <c r="R10" s="6"/>
      <c r="S10" s="252" t="s">
        <v>18</v>
      </c>
      <c r="T10" s="222"/>
      <c r="U10" s="222"/>
      <c r="V10" s="264" t="s">
        <v>19</v>
      </c>
      <c r="W10" s="237"/>
      <c r="X10" s="237"/>
      <c r="Y10" s="237"/>
      <c r="Z10" s="237"/>
      <c r="AA10" s="2"/>
      <c r="AB10" s="6"/>
      <c r="AC10" s="257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0" t="s">
        <v>20</v>
      </c>
      <c r="F11" s="222"/>
      <c r="G11" s="7" t="s">
        <v>21</v>
      </c>
      <c r="H11" s="5"/>
      <c r="I11" s="3" t="s">
        <v>22</v>
      </c>
      <c r="J11" s="5"/>
      <c r="K11" s="251" t="s">
        <v>23</v>
      </c>
      <c r="L11" s="237"/>
      <c r="M11" s="237"/>
      <c r="N11" s="237"/>
      <c r="O11" s="237"/>
      <c r="P11" s="5"/>
      <c r="Q11" s="2"/>
      <c r="R11" s="6"/>
      <c r="S11" s="252" t="s">
        <v>24</v>
      </c>
      <c r="T11" s="222"/>
      <c r="U11" s="222"/>
      <c r="V11" s="253" t="s">
        <v>25</v>
      </c>
      <c r="W11" s="226"/>
      <c r="X11" s="226"/>
      <c r="Y11" s="226"/>
      <c r="Z11" s="226"/>
      <c r="AA11" s="2"/>
      <c r="AB11" s="252"/>
      <c r="AC11" s="222"/>
      <c r="AD11" s="22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4"/>
      <c r="BR11" s="22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8" t="s">
        <v>26</v>
      </c>
      <c r="F12" s="246"/>
      <c r="G12" s="11" t="s">
        <v>27</v>
      </c>
      <c r="H12" s="5"/>
      <c r="I12" s="10" t="s">
        <v>28</v>
      </c>
      <c r="J12" s="11"/>
      <c r="K12" s="259" t="s">
        <v>29</v>
      </c>
      <c r="L12" s="246"/>
      <c r="M12" s="246"/>
      <c r="N12" s="246"/>
      <c r="O12" s="246"/>
      <c r="P12" s="2"/>
      <c r="Q12" s="2"/>
      <c r="R12" s="2"/>
      <c r="S12" s="12" t="s">
        <v>30</v>
      </c>
      <c r="T12" s="13"/>
      <c r="U12" s="13"/>
      <c r="V12" s="14">
        <v>0.5</v>
      </c>
      <c r="X12" s="255"/>
      <c r="Y12" s="246"/>
      <c r="Z12" s="11"/>
      <c r="AA12" s="16"/>
      <c r="AB12" s="256"/>
      <c r="AC12" s="246"/>
      <c r="AD12" s="246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55"/>
      <c r="BR12" s="246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60" t="s">
        <v>31</v>
      </c>
      <c r="F13" s="260" t="s">
        <v>32</v>
      </c>
      <c r="G13" s="260" t="s">
        <v>33</v>
      </c>
      <c r="H13" s="263" t="s">
        <v>34</v>
      </c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8"/>
      <c r="BU13" s="243" t="s">
        <v>35</v>
      </c>
      <c r="BV13" s="244"/>
      <c r="BW13" s="244"/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7" t="s">
        <v>36</v>
      </c>
      <c r="CP13" s="244"/>
      <c r="CQ13" s="244"/>
      <c r="CR13" s="244"/>
      <c r="CS13" s="244"/>
      <c r="CT13" s="244"/>
      <c r="CU13" s="244"/>
      <c r="CV13" s="244"/>
      <c r="CW13" s="244"/>
      <c r="CX13" s="248"/>
    </row>
    <row r="14" spans="5:102" ht="15" customHeight="1">
      <c r="E14" s="261"/>
      <c r="F14" s="261"/>
      <c r="G14" s="261"/>
      <c r="H14" s="245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9"/>
      <c r="BU14" s="245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5"/>
      <c r="CP14" s="246"/>
      <c r="CQ14" s="246"/>
      <c r="CR14" s="246"/>
      <c r="CS14" s="246"/>
      <c r="CT14" s="246"/>
      <c r="CU14" s="246"/>
      <c r="CV14" s="246"/>
      <c r="CW14" s="246"/>
      <c r="CX14" s="249"/>
    </row>
    <row r="15" spans="5:102">
      <c r="E15" s="261"/>
      <c r="F15" s="261"/>
      <c r="G15" s="261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61"/>
      <c r="F16" s="261"/>
      <c r="G16" s="261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62"/>
      <c r="F17" s="262"/>
      <c r="G17" s="262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80</v>
      </c>
      <c r="I18" s="50">
        <v>94</v>
      </c>
      <c r="J18" s="50">
        <v>42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80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0">
        <v>92</v>
      </c>
      <c r="CP18" s="54">
        <v>38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64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Y9" zoomScale="72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3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6.5">
      <c r="F3" s="234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>
      <c r="F4" s="235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65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>
      <c r="E7" s="252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57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57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7"/>
      <c r="BM7" s="222"/>
      <c r="BN7" s="222"/>
      <c r="BO7" s="222"/>
      <c r="BP7" s="222"/>
      <c r="BQ7" s="5"/>
      <c r="BR7" s="5"/>
      <c r="BS7" s="5"/>
      <c r="BT7" s="2"/>
      <c r="BU7" s="6"/>
      <c r="BV7" s="257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7"/>
      <c r="DD7" s="222"/>
      <c r="DE7" s="222"/>
      <c r="DF7" s="222"/>
      <c r="DG7" s="222"/>
      <c r="DH7" s="5"/>
      <c r="DI7" s="5"/>
    </row>
    <row r="8" spans="5:113">
      <c r="E8" s="252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57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57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7"/>
      <c r="BM8" s="222"/>
      <c r="BN8" s="222"/>
      <c r="BO8" s="222"/>
      <c r="BP8" s="222"/>
      <c r="BQ8" s="5"/>
      <c r="BR8" s="5"/>
      <c r="BS8" s="5"/>
      <c r="BT8" s="2"/>
      <c r="BU8" s="6"/>
      <c r="BV8" s="257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7"/>
      <c r="DD8" s="222"/>
      <c r="DE8" s="222"/>
      <c r="DF8" s="222"/>
      <c r="DG8" s="222"/>
      <c r="DH8" s="5"/>
      <c r="DI8" s="5"/>
    </row>
    <row r="9" spans="5:113">
      <c r="E9" s="252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57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57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7"/>
      <c r="BM9" s="222"/>
      <c r="BN9" s="222"/>
      <c r="BO9" s="222"/>
      <c r="BP9" s="222"/>
      <c r="BQ9" s="5"/>
      <c r="BR9" s="5"/>
      <c r="BS9" s="5"/>
      <c r="BT9" s="2"/>
      <c r="BU9" s="6"/>
      <c r="BV9" s="257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7"/>
      <c r="DD9" s="222"/>
      <c r="DE9" s="222"/>
      <c r="DF9" s="222"/>
      <c r="DG9" s="222"/>
      <c r="DH9" s="5"/>
      <c r="DI9" s="5"/>
    </row>
    <row r="10" spans="5:113">
      <c r="E10" s="252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57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52" t="s">
        <v>18</v>
      </c>
      <c r="T10" s="222"/>
      <c r="U10" s="222"/>
      <c r="V10" s="257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7"/>
      <c r="BM10" s="222"/>
      <c r="BN10" s="222"/>
      <c r="BO10" s="222"/>
      <c r="BP10" s="222"/>
      <c r="BQ10" s="5"/>
      <c r="BR10" s="5"/>
      <c r="BS10" s="5"/>
      <c r="BT10" s="2"/>
      <c r="BU10" s="6"/>
      <c r="BV10" s="257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7"/>
      <c r="DD10" s="222"/>
      <c r="DE10" s="222"/>
      <c r="DF10" s="222"/>
      <c r="DG10" s="222"/>
      <c r="DH10" s="5"/>
      <c r="DI10" s="5"/>
    </row>
    <row r="11" spans="5:113">
      <c r="E11" s="252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57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52" t="s">
        <v>24</v>
      </c>
      <c r="T11" s="222"/>
      <c r="U11" s="222"/>
      <c r="V11" s="257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7"/>
      <c r="BM11" s="222"/>
      <c r="BN11" s="222"/>
      <c r="BO11" s="222"/>
      <c r="BP11" s="222"/>
      <c r="BQ11" s="254"/>
      <c r="BR11" s="222"/>
      <c r="BS11" s="5"/>
      <c r="BT11" s="2"/>
      <c r="BU11" s="6"/>
      <c r="BV11" s="257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54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57"/>
      <c r="DD11" s="222"/>
      <c r="DE11" s="222"/>
      <c r="DF11" s="222"/>
      <c r="DG11" s="222"/>
      <c r="DH11" s="254"/>
      <c r="DI11" s="222"/>
    </row>
    <row r="12" spans="5:113">
      <c r="E12" s="277" t="s">
        <v>26</v>
      </c>
      <c r="F12" s="246"/>
      <c r="G12" s="11" t="str">
        <f>'Midterm OVPAA-F-INS-055A RAW SC'!G12</f>
        <v>Czarissa Louise A. Navidad</v>
      </c>
      <c r="H12" s="2"/>
      <c r="I12" s="10" t="s">
        <v>28</v>
      </c>
      <c r="J12" s="11"/>
      <c r="K12" s="278" t="str">
        <f>'Midterm OVPAA-F-INS-055A RAW SC'!K12</f>
        <v>Dr. Marilou O. Espina</v>
      </c>
      <c r="L12" s="246"/>
      <c r="M12" s="246"/>
      <c r="N12" s="246"/>
      <c r="O12" s="246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55"/>
      <c r="Y12" s="24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8"/>
      <c r="BM12" s="246"/>
      <c r="BN12" s="246"/>
      <c r="BO12" s="246"/>
      <c r="BP12" s="246"/>
      <c r="BQ12" s="255"/>
      <c r="BR12" s="246"/>
      <c r="BS12" s="11"/>
      <c r="BT12" s="16"/>
      <c r="BU12" s="76"/>
      <c r="BV12" s="278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55"/>
      <c r="CQ12" s="246"/>
      <c r="CR12" s="246"/>
      <c r="CS12" s="246"/>
      <c r="CT12" s="15"/>
      <c r="CU12" s="15"/>
      <c r="CV12" s="15"/>
      <c r="CW12" s="15"/>
      <c r="CX12" s="11"/>
      <c r="CY12" s="11"/>
      <c r="CZ12" s="11"/>
      <c r="DA12" s="16"/>
      <c r="DB12" s="76"/>
      <c r="DC12" s="278"/>
      <c r="DD12" s="246"/>
      <c r="DE12" s="246"/>
      <c r="DF12" s="246"/>
      <c r="DG12" s="246"/>
      <c r="DH12" s="255"/>
      <c r="DI12" s="246"/>
    </row>
    <row r="13" spans="5:113" ht="15" customHeight="1">
      <c r="E13" s="260" t="s">
        <v>31</v>
      </c>
      <c r="F13" s="260" t="s">
        <v>32</v>
      </c>
      <c r="G13" s="260" t="s">
        <v>33</v>
      </c>
      <c r="H13" s="279" t="s">
        <v>34</v>
      </c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8"/>
      <c r="BW13" s="243" t="s">
        <v>35</v>
      </c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4"/>
      <c r="CP13" s="244"/>
      <c r="CQ13" s="244"/>
      <c r="CR13" s="248"/>
      <c r="CS13" s="247" t="s">
        <v>36</v>
      </c>
      <c r="CT13" s="244"/>
      <c r="CU13" s="244"/>
      <c r="CV13" s="244"/>
      <c r="CW13" s="244"/>
      <c r="CX13" s="244"/>
      <c r="CY13" s="244"/>
      <c r="CZ13" s="244"/>
      <c r="DA13" s="244"/>
      <c r="DB13" s="244"/>
      <c r="DC13" s="244"/>
      <c r="DD13" s="248"/>
      <c r="DE13" s="266" t="s">
        <v>71</v>
      </c>
      <c r="DF13" s="267"/>
      <c r="DG13" s="268"/>
      <c r="DH13" s="269" t="s">
        <v>72</v>
      </c>
      <c r="DI13" s="248"/>
    </row>
    <row r="14" spans="5:113" ht="15" customHeight="1">
      <c r="E14" s="261"/>
      <c r="F14" s="261"/>
      <c r="G14" s="261"/>
      <c r="H14" s="280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9"/>
      <c r="BW14" s="245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9"/>
      <c r="CS14" s="245"/>
      <c r="CT14" s="246"/>
      <c r="CU14" s="246"/>
      <c r="CV14" s="246"/>
      <c r="CW14" s="246"/>
      <c r="CX14" s="246"/>
      <c r="CY14" s="246"/>
      <c r="CZ14" s="246"/>
      <c r="DA14" s="246"/>
      <c r="DB14" s="246"/>
      <c r="DC14" s="246"/>
      <c r="DD14" s="249"/>
      <c r="DE14" s="77" t="s">
        <v>73</v>
      </c>
      <c r="DF14" s="78" t="s">
        <v>74</v>
      </c>
      <c r="DG14" s="79" t="s">
        <v>75</v>
      </c>
      <c r="DH14" s="245"/>
      <c r="DI14" s="249"/>
    </row>
    <row r="15" spans="5:113">
      <c r="E15" s="261"/>
      <c r="F15" s="261"/>
      <c r="G15" s="261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0" t="s">
        <v>76</v>
      </c>
      <c r="BV15" s="272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74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75" t="s">
        <v>76</v>
      </c>
      <c r="DD15" s="276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61"/>
      <c r="F16" s="261"/>
      <c r="G16" s="261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71"/>
      <c r="BV16" s="273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71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71"/>
      <c r="DD16" s="273"/>
      <c r="DE16" s="90"/>
      <c r="DF16" s="91"/>
      <c r="DG16" s="92"/>
      <c r="DH16" s="93"/>
      <c r="DI16" s="94"/>
    </row>
    <row r="17" spans="5:113">
      <c r="E17" s="262"/>
      <c r="F17" s="262"/>
      <c r="G17" s="262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str">
        <f>IF('Midterm OVPAA-F-INS-055A RAW SC'!CN18="","",'Midterm OVPAA-F-INS-055A RAW SC'!CN18/'Midterm OVPAA-F-INS-055A RAW SC'!CN$17*100)</f>
        <v/>
      </c>
      <c r="CQ18" s="115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59.333333333333336</v>
      </c>
      <c r="BV19" s="128">
        <f>IF(BU19="","",VLOOKUP(BU19,IF('Midterm OVPAA-F-INS-055A RAW SC'!$V$12=0.5,TRANSMUTATION!$C$4:$D$17,TRANSMUTATION!$G$4:$H$17),2,TRUE))</f>
        <v>2.75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0.82499999999999996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1.9750000000000001</v>
      </c>
      <c r="DI19" s="123" t="str">
        <f t="shared" si="5"/>
        <v>2.00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P12:CS12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S10:U10"/>
    <mergeCell ref="V10:Z10"/>
    <mergeCell ref="BL9:BP9"/>
    <mergeCell ref="BV9:CO9"/>
    <mergeCell ref="DC9:DG9"/>
    <mergeCell ref="BW13:CR14"/>
    <mergeCell ref="CS13:DD14"/>
    <mergeCell ref="DE13:DG13"/>
    <mergeCell ref="DH13:DI14"/>
    <mergeCell ref="BU15:BU16"/>
    <mergeCell ref="BV15:BV16"/>
    <mergeCell ref="CQ15:CQ16"/>
    <mergeCell ref="DC15:DC16"/>
    <mergeCell ref="DD15:DD16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4" workbookViewId="0">
      <selection activeCell="G18" sqref="G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33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6.5">
      <c r="F3" s="234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>
      <c r="F4" s="235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65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>
      <c r="E7" s="252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57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57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7"/>
      <c r="BM7" s="222"/>
      <c r="BN7" s="222"/>
      <c r="BO7" s="222"/>
      <c r="BP7" s="222"/>
      <c r="BQ7" s="5"/>
      <c r="BR7" s="5"/>
      <c r="BS7" s="5"/>
      <c r="BT7" s="2"/>
      <c r="BU7" s="6"/>
      <c r="BV7" s="257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52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57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57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7"/>
      <c r="BM8" s="222"/>
      <c r="BN8" s="222"/>
      <c r="BO8" s="222"/>
      <c r="BP8" s="222"/>
      <c r="BQ8" s="5"/>
      <c r="BR8" s="5"/>
      <c r="BS8" s="5"/>
      <c r="BT8" s="2"/>
      <c r="BU8" s="6"/>
      <c r="BV8" s="257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52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57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57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7"/>
      <c r="BM9" s="222"/>
      <c r="BN9" s="222"/>
      <c r="BO9" s="222"/>
      <c r="BP9" s="222"/>
      <c r="BQ9" s="5"/>
      <c r="BR9" s="5"/>
      <c r="BS9" s="5"/>
      <c r="BT9" s="2"/>
      <c r="BU9" s="6"/>
      <c r="BV9" s="257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52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57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52" t="s">
        <v>18</v>
      </c>
      <c r="T10" s="222"/>
      <c r="U10" s="222"/>
      <c r="V10" s="257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7"/>
      <c r="BM10" s="222"/>
      <c r="BN10" s="222"/>
      <c r="BO10" s="222"/>
      <c r="BP10" s="222"/>
      <c r="BQ10" s="5"/>
      <c r="BR10" s="5"/>
      <c r="BS10" s="5"/>
      <c r="BT10" s="2"/>
      <c r="BU10" s="6"/>
      <c r="BV10" s="257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52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57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52" t="s">
        <v>24</v>
      </c>
      <c r="T11" s="222"/>
      <c r="U11" s="222"/>
      <c r="V11" s="257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7"/>
      <c r="BM11" s="222"/>
      <c r="BN11" s="222"/>
      <c r="BO11" s="222"/>
      <c r="BP11" s="222"/>
      <c r="BQ11" s="254"/>
      <c r="BR11" s="222"/>
      <c r="BS11" s="5"/>
      <c r="BT11" s="2"/>
      <c r="BU11" s="6"/>
      <c r="BV11" s="257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54"/>
      <c r="CQ11" s="222"/>
      <c r="CR11" s="222"/>
      <c r="CS11" s="222"/>
      <c r="CT11" s="9"/>
      <c r="CU11" s="9"/>
      <c r="CV11" s="9"/>
      <c r="CW11" s="9"/>
      <c r="CX11" s="5"/>
    </row>
    <row r="12" spans="5:102">
      <c r="E12" s="277" t="s">
        <v>26</v>
      </c>
      <c r="F12" s="246"/>
      <c r="G12" s="11" t="str">
        <f>'Midterm OVPAA-F-INS-055A RAW SC'!G12</f>
        <v>Czarissa Louise A. Navidad</v>
      </c>
      <c r="H12" s="2"/>
      <c r="I12" s="10" t="s">
        <v>28</v>
      </c>
      <c r="J12" s="11"/>
      <c r="K12" s="278" t="str">
        <f>'Midterm OVPAA-F-INS-055A RAW SC'!K12</f>
        <v>Dr. Marilou O. Espina</v>
      </c>
      <c r="L12" s="246"/>
      <c r="M12" s="246"/>
      <c r="N12" s="246"/>
      <c r="O12" s="246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55"/>
      <c r="Y12" s="24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8"/>
      <c r="BM12" s="246"/>
      <c r="BN12" s="246"/>
      <c r="BO12" s="246"/>
      <c r="BP12" s="246"/>
      <c r="BQ12" s="255"/>
      <c r="BR12" s="246"/>
      <c r="BS12" s="11"/>
      <c r="BT12" s="16"/>
      <c r="BU12" s="76"/>
      <c r="BV12" s="278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55"/>
      <c r="CQ12" s="246"/>
      <c r="CR12" s="246"/>
      <c r="CS12" s="246"/>
      <c r="CT12" s="15"/>
      <c r="CU12" s="15"/>
      <c r="CV12" s="15"/>
      <c r="CW12" s="15"/>
      <c r="CX12" s="11"/>
    </row>
    <row r="13" spans="5:102" ht="15" customHeight="1">
      <c r="E13" s="260" t="s">
        <v>31</v>
      </c>
      <c r="F13" s="260" t="s">
        <v>32</v>
      </c>
      <c r="G13" s="260" t="s">
        <v>33</v>
      </c>
      <c r="H13" s="263" t="s">
        <v>34</v>
      </c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8"/>
      <c r="BU13" s="243" t="s">
        <v>35</v>
      </c>
      <c r="BV13" s="244"/>
      <c r="BW13" s="244"/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7" t="s">
        <v>36</v>
      </c>
      <c r="CP13" s="244"/>
      <c r="CQ13" s="244"/>
      <c r="CR13" s="244"/>
      <c r="CS13" s="244"/>
      <c r="CT13" s="244"/>
      <c r="CU13" s="244"/>
      <c r="CV13" s="244"/>
      <c r="CW13" s="244"/>
      <c r="CX13" s="248"/>
    </row>
    <row r="14" spans="5:102" ht="15" customHeight="1">
      <c r="E14" s="261"/>
      <c r="F14" s="261"/>
      <c r="G14" s="261"/>
      <c r="H14" s="245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9"/>
      <c r="BU14" s="245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5"/>
      <c r="CP14" s="246"/>
      <c r="CQ14" s="246"/>
      <c r="CR14" s="246"/>
      <c r="CS14" s="246"/>
      <c r="CT14" s="246"/>
      <c r="CU14" s="246"/>
      <c r="CV14" s="246"/>
      <c r="CW14" s="246"/>
      <c r="CX14" s="249"/>
    </row>
    <row r="15" spans="5:102">
      <c r="E15" s="261"/>
      <c r="F15" s="261"/>
      <c r="G15" s="261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61"/>
      <c r="F16" s="261"/>
      <c r="G16" s="261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62"/>
      <c r="F17" s="262"/>
      <c r="G17" s="262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5</v>
      </c>
      <c r="I18" s="50">
        <v>5</v>
      </c>
      <c r="J18" s="50">
        <v>3</v>
      </c>
      <c r="K18" s="50">
        <v>5</v>
      </c>
      <c r="L18" s="50">
        <v>5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95</v>
      </c>
      <c r="BV18" s="50">
        <v>0</v>
      </c>
      <c r="BW18" s="50">
        <v>10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2">
        <v>50</v>
      </c>
      <c r="CP18" s="50">
        <v>91.25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E11:F11"/>
    <mergeCell ref="S11:U11"/>
    <mergeCell ref="V11:Z11"/>
    <mergeCell ref="BL11:BP11"/>
    <mergeCell ref="BQ11:BR11"/>
    <mergeCell ref="BV11:CO11"/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E8:F8"/>
    <mergeCell ref="BV8:CO8"/>
    <mergeCell ref="S10:U10"/>
    <mergeCell ref="V10:Z10"/>
    <mergeCell ref="BL10:BP10"/>
    <mergeCell ref="BV10:CO10"/>
    <mergeCell ref="K10:O10"/>
    <mergeCell ref="S9:W9"/>
    <mergeCell ref="S8:W8"/>
    <mergeCell ref="BL8:BP8"/>
    <mergeCell ref="BL9:BP9"/>
    <mergeCell ref="BV9:CO9"/>
    <mergeCell ref="K8:O8"/>
    <mergeCell ref="E9:F9"/>
    <mergeCell ref="K9:O9"/>
    <mergeCell ref="E10:F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11" zoomScale="71" workbookViewId="0">
      <selection activeCell="DK16" sqref="DK16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3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6.5">
      <c r="F3" s="234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>
      <c r="F4" s="235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65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>
      <c r="E7" s="252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57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57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7"/>
      <c r="BM7" s="222"/>
      <c r="BN7" s="222"/>
      <c r="BO7" s="222"/>
      <c r="BP7" s="222"/>
      <c r="BQ7" s="5"/>
      <c r="BR7" s="5"/>
      <c r="BS7" s="5"/>
      <c r="BT7" s="2"/>
      <c r="BU7" s="6"/>
      <c r="BV7" s="257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7"/>
      <c r="DD7" s="222"/>
      <c r="DE7" s="222"/>
      <c r="DF7" s="222"/>
      <c r="DG7" s="222"/>
      <c r="DH7" s="5"/>
      <c r="DI7" s="5"/>
    </row>
    <row r="8" spans="5:113">
      <c r="E8" s="252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57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57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7"/>
      <c r="BM8" s="222"/>
      <c r="BN8" s="222"/>
      <c r="BO8" s="222"/>
      <c r="BP8" s="222"/>
      <c r="BQ8" s="5"/>
      <c r="BR8" s="5"/>
      <c r="BS8" s="5"/>
      <c r="BT8" s="2"/>
      <c r="BU8" s="6"/>
      <c r="BV8" s="257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7"/>
      <c r="DD8" s="222"/>
      <c r="DE8" s="222"/>
      <c r="DF8" s="222"/>
      <c r="DG8" s="222"/>
      <c r="DH8" s="5"/>
      <c r="DI8" s="5"/>
    </row>
    <row r="9" spans="5:113">
      <c r="E9" s="252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57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57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7"/>
      <c r="BM9" s="222"/>
      <c r="BN9" s="222"/>
      <c r="BO9" s="222"/>
      <c r="BP9" s="222"/>
      <c r="BQ9" s="5"/>
      <c r="BR9" s="5"/>
      <c r="BS9" s="5"/>
      <c r="BT9" s="2"/>
      <c r="BU9" s="6"/>
      <c r="BV9" s="257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7"/>
      <c r="DD9" s="222"/>
      <c r="DE9" s="222"/>
      <c r="DF9" s="222"/>
      <c r="DG9" s="222"/>
      <c r="DH9" s="5"/>
      <c r="DI9" s="5"/>
    </row>
    <row r="10" spans="5:113">
      <c r="E10" s="252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57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52" t="s">
        <v>18</v>
      </c>
      <c r="T10" s="222"/>
      <c r="U10" s="222"/>
      <c r="V10" s="257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7"/>
      <c r="BM10" s="222"/>
      <c r="BN10" s="222"/>
      <c r="BO10" s="222"/>
      <c r="BP10" s="222"/>
      <c r="BQ10" s="5"/>
      <c r="BR10" s="5"/>
      <c r="BS10" s="5"/>
      <c r="BT10" s="2"/>
      <c r="BU10" s="6"/>
      <c r="BV10" s="257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7"/>
      <c r="DD10" s="222"/>
      <c r="DE10" s="222"/>
      <c r="DF10" s="222"/>
      <c r="DG10" s="222"/>
      <c r="DH10" s="5"/>
      <c r="DI10" s="5"/>
    </row>
    <row r="11" spans="5:113">
      <c r="E11" s="252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57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52" t="s">
        <v>24</v>
      </c>
      <c r="T11" s="222"/>
      <c r="U11" s="222"/>
      <c r="V11" s="257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7"/>
      <c r="BM11" s="222"/>
      <c r="BN11" s="222"/>
      <c r="BO11" s="222"/>
      <c r="BP11" s="222"/>
      <c r="BQ11" s="254"/>
      <c r="BR11" s="222"/>
      <c r="BS11" s="5"/>
      <c r="BT11" s="2"/>
      <c r="BU11" s="6"/>
      <c r="BV11" s="257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54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57"/>
      <c r="DD11" s="222"/>
      <c r="DE11" s="222"/>
      <c r="DF11" s="222"/>
      <c r="DG11" s="222"/>
      <c r="DH11" s="254"/>
      <c r="DI11" s="222"/>
    </row>
    <row r="12" spans="5:113">
      <c r="E12" s="277" t="s">
        <v>26</v>
      </c>
      <c r="F12" s="246"/>
      <c r="G12" s="11" t="str">
        <f>'Midterm OVPAA-F-INS-055A RAW SC'!G12</f>
        <v>Czarissa Louise A. Navidad</v>
      </c>
      <c r="H12" s="2"/>
      <c r="I12" s="10" t="s">
        <v>28</v>
      </c>
      <c r="J12" s="11"/>
      <c r="K12" s="278" t="str">
        <f>'Midterm OVPAA-F-INS-055A RAW SC'!K12</f>
        <v>Dr. Marilou O. Espina</v>
      </c>
      <c r="L12" s="246"/>
      <c r="M12" s="246"/>
      <c r="N12" s="246"/>
      <c r="O12" s="246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55"/>
      <c r="Y12" s="24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8"/>
      <c r="BM12" s="246"/>
      <c r="BN12" s="246"/>
      <c r="BO12" s="246"/>
      <c r="BP12" s="246"/>
      <c r="BQ12" s="255"/>
      <c r="BR12" s="246"/>
      <c r="BS12" s="11"/>
      <c r="BT12" s="16"/>
      <c r="BU12" s="76"/>
      <c r="BV12" s="278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55"/>
      <c r="CQ12" s="246"/>
      <c r="CR12" s="246"/>
      <c r="CS12" s="246"/>
      <c r="CT12" s="15"/>
      <c r="CU12" s="15"/>
      <c r="CV12" s="15"/>
      <c r="CW12" s="15"/>
      <c r="CX12" s="11"/>
      <c r="CY12" s="11"/>
      <c r="CZ12" s="11"/>
      <c r="DA12" s="16"/>
      <c r="DB12" s="76"/>
      <c r="DC12" s="278"/>
      <c r="DD12" s="246"/>
      <c r="DE12" s="246"/>
      <c r="DF12" s="246"/>
      <c r="DG12" s="246"/>
      <c r="DH12" s="255"/>
      <c r="DI12" s="246"/>
    </row>
    <row r="13" spans="5:113" ht="15" customHeight="1">
      <c r="E13" s="260" t="s">
        <v>31</v>
      </c>
      <c r="F13" s="260" t="s">
        <v>32</v>
      </c>
      <c r="G13" s="260" t="s">
        <v>33</v>
      </c>
      <c r="H13" s="279" t="s">
        <v>34</v>
      </c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8"/>
      <c r="BW13" s="243" t="s">
        <v>35</v>
      </c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4"/>
      <c r="CP13" s="244"/>
      <c r="CQ13" s="244"/>
      <c r="CR13" s="248"/>
      <c r="CS13" s="247" t="s">
        <v>36</v>
      </c>
      <c r="CT13" s="244"/>
      <c r="CU13" s="244"/>
      <c r="CV13" s="244"/>
      <c r="CW13" s="244"/>
      <c r="CX13" s="244"/>
      <c r="CY13" s="244"/>
      <c r="CZ13" s="244"/>
      <c r="DA13" s="244"/>
      <c r="DB13" s="244"/>
      <c r="DC13" s="244"/>
      <c r="DD13" s="248"/>
      <c r="DE13" s="266" t="s">
        <v>71</v>
      </c>
      <c r="DF13" s="267"/>
      <c r="DG13" s="268"/>
      <c r="DH13" s="269" t="s">
        <v>92</v>
      </c>
      <c r="DI13" s="248"/>
    </row>
    <row r="14" spans="5:113" ht="15" customHeight="1">
      <c r="E14" s="261"/>
      <c r="F14" s="261"/>
      <c r="G14" s="261"/>
      <c r="H14" s="280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9"/>
      <c r="BW14" s="245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9"/>
      <c r="CS14" s="245"/>
      <c r="CT14" s="246"/>
      <c r="CU14" s="246"/>
      <c r="CV14" s="246"/>
      <c r="CW14" s="246"/>
      <c r="CX14" s="246"/>
      <c r="CY14" s="246"/>
      <c r="CZ14" s="246"/>
      <c r="DA14" s="246"/>
      <c r="DB14" s="246"/>
      <c r="DC14" s="246"/>
      <c r="DD14" s="249"/>
      <c r="DE14" s="77" t="s">
        <v>73</v>
      </c>
      <c r="DF14" s="78" t="s">
        <v>74</v>
      </c>
      <c r="DG14" s="79" t="s">
        <v>75</v>
      </c>
      <c r="DH14" s="245"/>
      <c r="DI14" s="249"/>
    </row>
    <row r="15" spans="5:113">
      <c r="E15" s="261"/>
      <c r="F15" s="261"/>
      <c r="G15" s="261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0" t="s">
        <v>76</v>
      </c>
      <c r="BV15" s="272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74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75" t="s">
        <v>76</v>
      </c>
      <c r="DD15" s="276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61"/>
      <c r="F16" s="261"/>
      <c r="G16" s="261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71"/>
      <c r="BV16" s="273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71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71"/>
      <c r="DD16" s="273"/>
      <c r="DE16" s="90"/>
      <c r="DF16" s="91"/>
      <c r="DG16" s="92"/>
      <c r="DH16" s="93"/>
      <c r="DI16" s="94"/>
    </row>
    <row r="17" spans="5:113">
      <c r="E17" s="262"/>
      <c r="F17" s="262"/>
      <c r="G17" s="262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str">
        <f>IF('Finalterm OVPAA-F-INS-055A RAW '!CN18="","",'Finalterm OVPAA-F-INS-055A RAW '!CN18/'Finalterm OVPAA-F-INS-055A RAW '!CN$17*100)</f>
        <v/>
      </c>
      <c r="CQ18" s="157">
        <f t="array" ref="CQ18">IF('Midterm OVPAA-F-INS-055A RAW SC'!G18="","",IF((SUMPRODUCT(--ISBLANK('Finalterm OVPAA-F-INS-055A RAW '!BU18:CN18))=COLUMNS('Finalterm OVPAA-F-INS-055A RAW '!BU18:CN18))=TRUE,"",(((COUNTA('Finalterm OVPAA-F-INS-055A RAW '!$BU$17:$CN$17)+COUNTBLANK('Finalterm OVPAA-F-INS-055A RAW '!BU18:CN18))-COLUMNS('Finalterm OVPAA-F-INS-055A RAW '!BU18:CN18))*5+SUM(BW18:CP18))/COUNTA('Finalterm OVPAA-F-INS-055A RAW '!$BU$17:$CN$17)))</f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P12:CS12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S10:U10"/>
    <mergeCell ref="V10:Z10"/>
    <mergeCell ref="BL9:BP9"/>
    <mergeCell ref="BV9:CO9"/>
    <mergeCell ref="DC9:DG9"/>
    <mergeCell ref="BW13:CR14"/>
    <mergeCell ref="CS13:DD14"/>
    <mergeCell ref="DE13:DG13"/>
    <mergeCell ref="DH13:DI14"/>
    <mergeCell ref="BU15:BU16"/>
    <mergeCell ref="BV15:BV16"/>
    <mergeCell ref="CQ15:CQ16"/>
    <mergeCell ref="DC15:DC16"/>
    <mergeCell ref="DD15:DD16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opLeftCell="C1" workbookViewId="0">
      <selection activeCell="Q28" sqref="Q28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54</v>
      </c>
    </row>
    <row r="2" spans="1:33">
      <c r="B2" s="233" t="s">
        <v>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</row>
    <row r="3" spans="1:33" ht="16.5">
      <c r="B3" s="234" t="s">
        <v>1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</row>
    <row r="4" spans="1:33">
      <c r="B4" s="235" t="s">
        <v>2</v>
      </c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36" t="s">
        <v>93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25" t="s">
        <v>3</v>
      </c>
      <c r="B7" s="227"/>
      <c r="C7" s="178" t="str">
        <f>IF('Midterm OVPAA-F-INS-055A RAW SC'!G7="","",'Midterm OVPAA-F-INS-055A RAW SC'!G7)</f>
        <v>T40</v>
      </c>
      <c r="D7" s="179"/>
      <c r="E7" s="179"/>
      <c r="F7" s="229" t="s">
        <v>94</v>
      </c>
      <c r="G7" s="226"/>
      <c r="H7" s="226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25" t="s">
        <v>7</v>
      </c>
      <c r="B8" s="227"/>
      <c r="C8" s="183" t="str">
        <f>IF('Midterm OVPAA-F-INS-055A RAW SC'!G8="","",'Midterm OVPAA-F-INS-055A RAW SC'!G8)</f>
        <v>DA 142</v>
      </c>
      <c r="D8" s="184"/>
      <c r="E8" s="184"/>
      <c r="F8" s="229" t="s">
        <v>95</v>
      </c>
      <c r="G8" s="226"/>
      <c r="H8" s="226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25" t="s">
        <v>96</v>
      </c>
      <c r="B9" s="227"/>
      <c r="C9" s="183" t="str">
        <f>IF('Midterm OVPAA-F-INS-055A RAW SC'!G9="","",'Midterm OVPAA-F-INS-055A RAW SC'!G9)</f>
        <v>Animation Design and Production</v>
      </c>
      <c r="D9" s="184"/>
      <c r="E9" s="184"/>
      <c r="F9" s="238" t="s">
        <v>97</v>
      </c>
      <c r="G9" s="237"/>
      <c r="H9" s="239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25" t="s">
        <v>98</v>
      </c>
      <c r="B10" s="227"/>
      <c r="C10" s="178" t="str">
        <f>'Midterm OVPAA-F-INS-055A RAW SC'!G10&amp;"/"&amp;'Midterm OVPAA-F-INS-055A RAW SC'!G11</f>
        <v>1st Sem/2025-2026</v>
      </c>
      <c r="D10" s="179"/>
      <c r="E10" s="186"/>
      <c r="F10" s="229"/>
      <c r="G10" s="226"/>
      <c r="H10" s="22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30" t="s">
        <v>99</v>
      </c>
      <c r="G11" s="226"/>
      <c r="H11" s="226"/>
      <c r="I11" s="226"/>
      <c r="J11" s="227"/>
      <c r="K11" s="230" t="s">
        <v>100</v>
      </c>
      <c r="L11" s="226"/>
      <c r="M11" s="226"/>
      <c r="N11" s="227"/>
      <c r="O11" s="231" t="s">
        <v>101</v>
      </c>
      <c r="P11" s="222"/>
      <c r="Q11" s="232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102</v>
      </c>
      <c r="B12" s="191" t="s">
        <v>103</v>
      </c>
      <c r="C12" s="230" t="s">
        <v>104</v>
      </c>
      <c r="D12" s="226"/>
      <c r="E12" s="227"/>
      <c r="F12" s="230" t="e">
        <f ca="1">_xludf.CONCAT(_xludf.CONCAT("CS (",'MidTerm OVPAA-F-INS-055B CLASS'!DE15*100),"%)")</f>
        <v>#NAME?</v>
      </c>
      <c r="G12" s="227"/>
      <c r="H12" s="192" t="str">
        <f ca="1">IFERROR(_xludf.CONCAT(_xludf.CONCAT("LAB (",'MidTerm OVPAA-F-INS-055B CLASS'!DF15*100),"%)"), "LAB (0%)")</f>
        <v>LAB (0%)</v>
      </c>
      <c r="I12" s="191" t="e">
        <f ca="1">_xludf.CONCAT(_xludf.CONCAT("MO (",'MidTerm OVPAA-F-INS-055B CLASS'!DG15*100),"%)")</f>
        <v>#NAME?</v>
      </c>
      <c r="J12" s="191" t="s">
        <v>105</v>
      </c>
      <c r="K12" s="191" t="e">
        <f ca="1">_xludf.CONCAT(_xludf.CONCAT("CS (",'Finalterm OVPAA-F-INS-055B CLAS'!DE15*100),"%)")</f>
        <v>#NAME?</v>
      </c>
      <c r="L12" s="191" t="str">
        <f ca="1">IFERROR(_xludf.CONCAT(_xludf.CONCAT("LAB (",'Finalterm OVPAA-F-INS-055B CLAS'!DF15*100),"%)"), "LAB (0%)")</f>
        <v>LAB (0%)</v>
      </c>
      <c r="M12" s="191" t="e">
        <f ca="1">_xludf.CONCAT(_xludf.CONCAT("MO (",'MidTerm OVPAA-F-INS-055B CLASS'!DG15*100),"%)")</f>
        <v>#NAME?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25" t="str">
        <f>IF(NOT(ISBLANK('Midterm OVPAA-F-INS-055A RAW SC'!G18)),'Midterm OVPAA-F-INS-055A RAW SC'!G18,"")</f>
        <v>Albarracin, Donna Igar</v>
      </c>
      <c r="D13" s="226"/>
      <c r="E13" s="227"/>
      <c r="F13" s="228">
        <f>'MidTerm OVPAA-F-INS-055B CLASS'!BV18</f>
        <v>5</v>
      </c>
      <c r="G13" s="22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134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25" t="str">
        <f>IF(NOT(ISBLANK('Midterm OVPAA-F-INS-055A RAW SC'!G19)),'Midterm OVPAA-F-INS-055A RAW SC'!G19,"")</f>
        <v>Añonuevo, Thomas Franz</v>
      </c>
      <c r="D14" s="226"/>
      <c r="E14" s="227"/>
      <c r="F14" s="228">
        <f>'MidTerm OVPAA-F-INS-055B CLASS'!BV19</f>
        <v>2.75</v>
      </c>
      <c r="G14" s="227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25" t="str">
        <f>IF(NOT(ISBLANK('Midterm OVPAA-F-INS-055A RAW SC'!G20)),'Midterm OVPAA-F-INS-055A RAW SC'!G20,"")</f>
        <v>Cabuco, Dean Krist A.</v>
      </c>
      <c r="D15" s="226"/>
      <c r="E15" s="227"/>
      <c r="F15" s="228">
        <f>'MidTerm OVPAA-F-INS-055B CLASS'!BV20</f>
        <v>2.75</v>
      </c>
      <c r="G15" s="22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25" t="str">
        <f>IF(NOT(ISBLANK('Midterm OVPAA-F-INS-055A RAW SC'!G21)),'Midterm OVPAA-F-INS-055A RAW SC'!G21,"")</f>
        <v>De Guzman, Jim Dale Manong</v>
      </c>
      <c r="D16" s="226"/>
      <c r="E16" s="227"/>
      <c r="F16" s="228">
        <f>'MidTerm OVPAA-F-INS-055B CLASS'!BV21</f>
        <v>5</v>
      </c>
      <c r="G16" s="227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25" t="str">
        <f>IF(NOT(ISBLANK('Midterm OVPAA-F-INS-055A RAW SC'!G22)),'Midterm OVPAA-F-INS-055A RAW SC'!G22,"")</f>
        <v>Dela Cerna, Johann Derek Javier</v>
      </c>
      <c r="D17" s="226"/>
      <c r="E17" s="227"/>
      <c r="F17" s="228">
        <f>'MidTerm OVPAA-F-INS-055B CLASS'!BV22</f>
        <v>1.75</v>
      </c>
      <c r="G17" s="22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25" t="str">
        <f>IF(NOT(ISBLANK('Midterm OVPAA-F-INS-055A RAW SC'!G23)),'Midterm OVPAA-F-INS-055A RAW SC'!G23,"")</f>
        <v>Delfin, Kyle Arnie Jopson</v>
      </c>
      <c r="D18" s="226"/>
      <c r="E18" s="227"/>
      <c r="F18" s="228">
        <f>'MidTerm OVPAA-F-INS-055B CLASS'!BV23</f>
        <v>3</v>
      </c>
      <c r="G18" s="22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25" t="str">
        <f>IF(NOT(ISBLANK('Midterm OVPAA-F-INS-055A RAW SC'!G24)),'Midterm OVPAA-F-INS-055A RAW SC'!G24,"")</f>
        <v>Gumapac, Jannerie</v>
      </c>
      <c r="D19" s="226"/>
      <c r="E19" s="227"/>
      <c r="F19" s="228">
        <f>'MidTerm OVPAA-F-INS-055B CLASS'!BV24</f>
        <v>2.75</v>
      </c>
      <c r="G19" s="22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25" t="str">
        <f>IF(NOT(ISBLANK('Midterm OVPAA-F-INS-055A RAW SC'!G25)),'Midterm OVPAA-F-INS-055A RAW SC'!G25,"")</f>
        <v>Lantinay, Pol Edison</v>
      </c>
      <c r="D20" s="226"/>
      <c r="E20" s="227"/>
      <c r="F20" s="228">
        <f>'MidTerm OVPAA-F-INS-055B CLASS'!BV25</f>
        <v>5</v>
      </c>
      <c r="G20" s="22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25" t="str">
        <f>IF(NOT(ISBLANK('Midterm OVPAA-F-INS-055A RAW SC'!G26)),'Midterm OVPAA-F-INS-055A RAW SC'!G26,"")</f>
        <v>Lintawahan, Maria Elisabeth</v>
      </c>
      <c r="D21" s="226"/>
      <c r="E21" s="227"/>
      <c r="F21" s="228">
        <f>'MidTerm OVPAA-F-INS-055B CLASS'!BV26</f>
        <v>3.5</v>
      </c>
      <c r="G21" s="22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134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25" t="str">
        <f>IF(NOT(ISBLANK('Midterm OVPAA-F-INS-055A RAW SC'!G27)),'Midterm OVPAA-F-INS-055A RAW SC'!G27,"")</f>
        <v>Lisondra, Christian Earl</v>
      </c>
      <c r="D22" s="226"/>
      <c r="E22" s="227"/>
      <c r="F22" s="228">
        <f>'MidTerm OVPAA-F-INS-055B CLASS'!BV27</f>
        <v>2.25</v>
      </c>
      <c r="G22" s="22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25" t="str">
        <f>IF(NOT(ISBLANK('Midterm OVPAA-F-INS-055A RAW SC'!G28)),'Midterm OVPAA-F-INS-055A RAW SC'!G28,"")</f>
        <v>Magante, Jerson</v>
      </c>
      <c r="D23" s="226"/>
      <c r="E23" s="227"/>
      <c r="F23" s="228">
        <f>'MidTerm OVPAA-F-INS-055B CLASS'!BV28</f>
        <v>3.25</v>
      </c>
      <c r="G23" s="22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25" t="str">
        <f>IF(NOT(ISBLANK('Midterm OVPAA-F-INS-055A RAW SC'!G29)),'Midterm OVPAA-F-INS-055A RAW SC'!G29,"")</f>
        <v>Maraon, EJ Kate</v>
      </c>
      <c r="D24" s="226"/>
      <c r="E24" s="227"/>
      <c r="F24" s="228">
        <f>'MidTerm OVPAA-F-INS-055B CLASS'!BV29</f>
        <v>5</v>
      </c>
      <c r="G24" s="22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25" t="str">
        <f>IF(NOT(ISBLANK('Midterm OVPAA-F-INS-055A RAW SC'!G30)),'Midterm OVPAA-F-INS-055A RAW SC'!G30,"")</f>
        <v>Melendez, Jeter Giambi</v>
      </c>
      <c r="D25" s="226"/>
      <c r="E25" s="227"/>
      <c r="F25" s="228">
        <f>'MidTerm OVPAA-F-INS-055B CLASS'!BV30</f>
        <v>1.75</v>
      </c>
      <c r="G25" s="22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25" t="str">
        <f>IF(NOT(ISBLANK('Midterm OVPAA-F-INS-055A RAW SC'!G31)),'Midterm OVPAA-F-INS-055A RAW SC'!G31,"")</f>
        <v>Merina, Meljon G.</v>
      </c>
      <c r="D26" s="226"/>
      <c r="E26" s="227"/>
      <c r="F26" s="228">
        <f>'MidTerm OVPAA-F-INS-055B CLASS'!BV31</f>
        <v>1.25</v>
      </c>
      <c r="G26" s="22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25" t="str">
        <f>IF(NOT(ISBLANK('Midterm OVPAA-F-INS-055A RAW SC'!G32)),'Midterm OVPAA-F-INS-055A RAW SC'!G32,"")</f>
        <v>Neri, Jaira Greist</v>
      </c>
      <c r="D27" s="226"/>
      <c r="E27" s="227"/>
      <c r="F27" s="228">
        <f>'MidTerm OVPAA-F-INS-055B CLASS'!BV32</f>
        <v>4</v>
      </c>
      <c r="G27" s="22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25" t="str">
        <f>IF(NOT(ISBLANK('Midterm OVPAA-F-INS-055A RAW SC'!G33)),'Midterm OVPAA-F-INS-055A RAW SC'!G33,"")</f>
        <v>Noval, Miky</v>
      </c>
      <c r="D28" s="226"/>
      <c r="E28" s="227"/>
      <c r="F28" s="228">
        <f>'MidTerm OVPAA-F-INS-055B CLASS'!BV33</f>
        <v>5</v>
      </c>
      <c r="G28" s="22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25" t="str">
        <f>IF(NOT(ISBLANK('Midterm OVPAA-F-INS-055A RAW SC'!G34)),'Midterm OVPAA-F-INS-055A RAW SC'!G34,"")</f>
        <v>Nuer, Jaymarc</v>
      </c>
      <c r="D29" s="226"/>
      <c r="E29" s="227"/>
      <c r="F29" s="228">
        <f>'MidTerm OVPAA-F-INS-055B CLASS'!BV34</f>
        <v>3.25</v>
      </c>
      <c r="G29" s="22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25" t="str">
        <f>IF(NOT(ISBLANK('Midterm OVPAA-F-INS-055A RAW SC'!G35)),'Midterm OVPAA-F-INS-055A RAW SC'!G35,"")</f>
        <v>Publico, Rogelio</v>
      </c>
      <c r="D30" s="226"/>
      <c r="E30" s="227"/>
      <c r="F30" s="228">
        <f>'MidTerm OVPAA-F-INS-055B CLASS'!BV35</f>
        <v>1.5</v>
      </c>
      <c r="G30" s="22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25" t="str">
        <f>IF(NOT(ISBLANK('Midterm OVPAA-F-INS-055A RAW SC'!G36)),'Midterm OVPAA-F-INS-055A RAW SC'!G36,"")</f>
        <v>Rivera, Juvel</v>
      </c>
      <c r="D31" s="226"/>
      <c r="E31" s="227"/>
      <c r="F31" s="228">
        <f>'MidTerm OVPAA-F-INS-055B CLASS'!BV36</f>
        <v>2.75</v>
      </c>
      <c r="G31" s="22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25" t="str">
        <f>IF(NOT(ISBLANK('Midterm OVPAA-F-INS-055A RAW SC'!G37)),'Midterm OVPAA-F-INS-055A RAW SC'!G37,"")</f>
        <v>Rubio, Pia Pilar</v>
      </c>
      <c r="D32" s="226"/>
      <c r="E32" s="227"/>
      <c r="F32" s="228">
        <f>'MidTerm OVPAA-F-INS-055B CLASS'!BV37</f>
        <v>1.75</v>
      </c>
      <c r="G32" s="22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25" t="str">
        <f>IF(NOT(ISBLANK('Midterm OVPAA-F-INS-055A RAW SC'!G38)),'Midterm OVPAA-F-INS-055A RAW SC'!G38,"")</f>
        <v>Salto, Mary Natalie</v>
      </c>
      <c r="D33" s="226"/>
      <c r="E33" s="227"/>
      <c r="F33" s="228">
        <f>'MidTerm OVPAA-F-INS-055B CLASS'!BV38</f>
        <v>1.25</v>
      </c>
      <c r="G33" s="22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25" t="str">
        <f>IF(NOT(ISBLANK('Midterm OVPAA-F-INS-055A RAW SC'!G39)),'Midterm OVPAA-F-INS-055A RAW SC'!G39,"")</f>
        <v>Tilanduca, Khiara</v>
      </c>
      <c r="D34" s="226"/>
      <c r="E34" s="227"/>
      <c r="F34" s="228">
        <f>'MidTerm OVPAA-F-INS-055B CLASS'!BV39</f>
        <v>1.25</v>
      </c>
      <c r="G34" s="22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25" t="str">
        <f>IF(NOT(ISBLANK('Midterm OVPAA-F-INS-055A RAW SC'!G40)),'Midterm OVPAA-F-INS-055A RAW SC'!G40,"")</f>
        <v>Valdez, John Winchel</v>
      </c>
      <c r="D35" s="226"/>
      <c r="E35" s="227"/>
      <c r="F35" s="228">
        <f>'MidTerm OVPAA-F-INS-055B CLASS'!BV40</f>
        <v>3</v>
      </c>
      <c r="G35" s="227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25" t="str">
        <f>IF(NOT(ISBLANK('Midterm OVPAA-F-INS-055A RAW SC'!G41)),'Midterm OVPAA-F-INS-055A RAW SC'!G41,"")</f>
        <v/>
      </c>
      <c r="D36" s="226"/>
      <c r="E36" s="227"/>
      <c r="F36" s="228" t="str">
        <f>'MidTerm OVPAA-F-INS-055B CLASS'!BV41</f>
        <v/>
      </c>
      <c r="G36" s="22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25" t="str">
        <f>IF(NOT(ISBLANK('Midterm OVPAA-F-INS-055A RAW SC'!G42)),'Midterm OVPAA-F-INS-055A RAW SC'!G42,"")</f>
        <v/>
      </c>
      <c r="D37" s="226"/>
      <c r="E37" s="227"/>
      <c r="F37" s="228" t="str">
        <f>'MidTerm OVPAA-F-INS-055B CLASS'!BV42</f>
        <v/>
      </c>
      <c r="G37" s="22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25" t="str">
        <f>IF(NOT(ISBLANK('Midterm OVPAA-F-INS-055A RAW SC'!G43)),'Midterm OVPAA-F-INS-055A RAW SC'!G43,"")</f>
        <v/>
      </c>
      <c r="D38" s="226"/>
      <c r="E38" s="227"/>
      <c r="F38" s="228" t="str">
        <f>'MidTerm OVPAA-F-INS-055B CLASS'!BV43</f>
        <v/>
      </c>
      <c r="G38" s="22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25" t="str">
        <f>IF(NOT(ISBLANK('Midterm OVPAA-F-INS-055A RAW SC'!G44)),'Midterm OVPAA-F-INS-055A RAW SC'!G44,"")</f>
        <v/>
      </c>
      <c r="D39" s="226"/>
      <c r="E39" s="227"/>
      <c r="F39" s="228" t="str">
        <f>'MidTerm OVPAA-F-INS-055B CLASS'!BV44</f>
        <v/>
      </c>
      <c r="G39" s="22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25" t="str">
        <f>IF(NOT(ISBLANK('Midterm OVPAA-F-INS-055A RAW SC'!G45)),'Midterm OVPAA-F-INS-055A RAW SC'!G45,"")</f>
        <v/>
      </c>
      <c r="D40" s="226"/>
      <c r="E40" s="227"/>
      <c r="F40" s="228" t="str">
        <f>'MidTerm OVPAA-F-INS-055B CLASS'!BV45</f>
        <v/>
      </c>
      <c r="G40" s="22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25" t="str">
        <f>IF(NOT(ISBLANK('Midterm OVPAA-F-INS-055A RAW SC'!G46)),'Midterm OVPAA-F-INS-055A RAW SC'!G46,"")</f>
        <v/>
      </c>
      <c r="D41" s="226"/>
      <c r="E41" s="227"/>
      <c r="F41" s="228" t="str">
        <f>'MidTerm OVPAA-F-INS-055B CLASS'!BV46</f>
        <v/>
      </c>
      <c r="G41" s="22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25" t="str">
        <f>IF(NOT(ISBLANK('Midterm OVPAA-F-INS-055A RAW SC'!G47)),'Midterm OVPAA-F-INS-055A RAW SC'!G47,"")</f>
        <v/>
      </c>
      <c r="D42" s="226"/>
      <c r="E42" s="227"/>
      <c r="F42" s="228" t="str">
        <f>'MidTerm OVPAA-F-INS-055B CLASS'!BV47</f>
        <v/>
      </c>
      <c r="G42" s="22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25" t="str">
        <f>IF(NOT(ISBLANK('Midterm OVPAA-F-INS-055A RAW SC'!G48)),'Midterm OVPAA-F-INS-055A RAW SC'!G48,"")</f>
        <v/>
      </c>
      <c r="D43" s="226"/>
      <c r="E43" s="227"/>
      <c r="F43" s="228" t="str">
        <f>'MidTerm OVPAA-F-INS-055B CLASS'!BV48</f>
        <v/>
      </c>
      <c r="G43" s="22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25" t="str">
        <f>IF(NOT(ISBLANK('Midterm OVPAA-F-INS-055A RAW SC'!G49)),'Midterm OVPAA-F-INS-055A RAW SC'!G49,"")</f>
        <v/>
      </c>
      <c r="D44" s="226"/>
      <c r="E44" s="227"/>
      <c r="F44" s="228" t="str">
        <f>'MidTerm OVPAA-F-INS-055B CLASS'!BV49</f>
        <v/>
      </c>
      <c r="G44" s="22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25" t="str">
        <f>IF(NOT(ISBLANK('Midterm OVPAA-F-INS-055A RAW SC'!G50)),'Midterm OVPAA-F-INS-055A RAW SC'!G50,"")</f>
        <v/>
      </c>
      <c r="D45" s="226"/>
      <c r="E45" s="227"/>
      <c r="F45" s="228" t="str">
        <f>'MidTerm OVPAA-F-INS-055B CLASS'!BV50</f>
        <v/>
      </c>
      <c r="G45" s="22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25" t="str">
        <f>IF(NOT(ISBLANK('Midterm OVPAA-F-INS-055A RAW SC'!G51)),'Midterm OVPAA-F-INS-055A RAW SC'!G51,"")</f>
        <v/>
      </c>
      <c r="D46" s="226"/>
      <c r="E46" s="227"/>
      <c r="F46" s="228" t="str">
        <f>'MidTerm OVPAA-F-INS-055B CLASS'!BV51</f>
        <v/>
      </c>
      <c r="G46" s="22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25" t="str">
        <f>IF(NOT(ISBLANK('Midterm OVPAA-F-INS-055A RAW SC'!G52)),'Midterm OVPAA-F-INS-055A RAW SC'!G52,"")</f>
        <v/>
      </c>
      <c r="D47" s="226"/>
      <c r="E47" s="227"/>
      <c r="F47" s="228" t="str">
        <f>'MidTerm OVPAA-F-INS-055B CLASS'!BV52</f>
        <v/>
      </c>
      <c r="G47" s="22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25" t="str">
        <f>IF(NOT(ISBLANK('Midterm OVPAA-F-INS-055A RAW SC'!G53)),'Midterm OVPAA-F-INS-055A RAW SC'!G53,"")</f>
        <v/>
      </c>
      <c r="D48" s="226"/>
      <c r="E48" s="227"/>
      <c r="F48" s="228" t="str">
        <f>'MidTerm OVPAA-F-INS-055B CLASS'!BV53</f>
        <v/>
      </c>
      <c r="G48" s="22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25" t="str">
        <f>IF(NOT(ISBLANK('Midterm OVPAA-F-INS-055A RAW SC'!G54)),'Midterm OVPAA-F-INS-055A RAW SC'!G54,"")</f>
        <v/>
      </c>
      <c r="D49" s="226"/>
      <c r="E49" s="227"/>
      <c r="F49" s="228" t="str">
        <f>'MidTerm OVPAA-F-INS-055B CLASS'!BV54</f>
        <v/>
      </c>
      <c r="G49" s="22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25" t="str">
        <f>IF(NOT(ISBLANK('Midterm OVPAA-F-INS-055A RAW SC'!G55)),'Midterm OVPAA-F-INS-055A RAW SC'!G55,"")</f>
        <v/>
      </c>
      <c r="D50" s="226"/>
      <c r="E50" s="227"/>
      <c r="F50" s="228" t="str">
        <f>'MidTerm OVPAA-F-INS-055B CLASS'!BV55</f>
        <v/>
      </c>
      <c r="G50" s="22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25" t="str">
        <f>IF(NOT(ISBLANK('Midterm OVPAA-F-INS-055A RAW SC'!G56)),'Midterm OVPAA-F-INS-055A RAW SC'!G56,"")</f>
        <v/>
      </c>
      <c r="D51" s="226"/>
      <c r="E51" s="227"/>
      <c r="F51" s="228" t="str">
        <f>'MidTerm OVPAA-F-INS-055B CLASS'!BV56</f>
        <v/>
      </c>
      <c r="G51" s="22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25" t="str">
        <f>IF(NOT(ISBLANK('Midterm OVPAA-F-INS-055A RAW SC'!G57)),'Midterm OVPAA-F-INS-055A RAW SC'!G57,"")</f>
        <v/>
      </c>
      <c r="D52" s="226"/>
      <c r="E52" s="227"/>
      <c r="F52" s="228" t="str">
        <f>'MidTerm OVPAA-F-INS-055B CLASS'!BV57</f>
        <v/>
      </c>
      <c r="G52" s="22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25" t="str">
        <f>IF(NOT(ISBLANK('Midterm OVPAA-F-INS-055A RAW SC'!G58)),'Midterm OVPAA-F-INS-055A RAW SC'!G58,"")</f>
        <v/>
      </c>
      <c r="D53" s="226"/>
      <c r="E53" s="227"/>
      <c r="F53" s="228" t="str">
        <f>'MidTerm OVPAA-F-INS-055B CLASS'!BV58</f>
        <v/>
      </c>
      <c r="G53" s="22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25" t="str">
        <f>IF(NOT(ISBLANK('Midterm OVPAA-F-INS-055A RAW SC'!G59)),'Midterm OVPAA-F-INS-055A RAW SC'!G59,"")</f>
        <v/>
      </c>
      <c r="D54" s="226"/>
      <c r="E54" s="227"/>
      <c r="F54" s="228" t="str">
        <f>'MidTerm OVPAA-F-INS-055B CLASS'!BV59</f>
        <v/>
      </c>
      <c r="G54" s="22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25" t="str">
        <f>IF(NOT(ISBLANK('Midterm OVPAA-F-INS-055A RAW SC'!G60)),'Midterm OVPAA-F-INS-055A RAW SC'!G60,"")</f>
        <v/>
      </c>
      <c r="D55" s="226"/>
      <c r="E55" s="227"/>
      <c r="F55" s="228" t="str">
        <f>'MidTerm OVPAA-F-INS-055B CLASS'!BV60</f>
        <v/>
      </c>
      <c r="G55" s="22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25" t="str">
        <f>IF(NOT(ISBLANK('Midterm OVPAA-F-INS-055A RAW SC'!G61)),'Midterm OVPAA-F-INS-055A RAW SC'!G61,"")</f>
        <v/>
      </c>
      <c r="D56" s="226"/>
      <c r="E56" s="227"/>
      <c r="F56" s="228" t="str">
        <f>'MidTerm OVPAA-F-INS-055B CLASS'!BV61</f>
        <v/>
      </c>
      <c r="G56" s="22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25" t="str">
        <f>IF(NOT(ISBLANK('Midterm OVPAA-F-INS-055A RAW SC'!G62)),'Midterm OVPAA-F-INS-055A RAW SC'!G62,"")</f>
        <v/>
      </c>
      <c r="D57" s="226"/>
      <c r="E57" s="227"/>
      <c r="F57" s="228" t="str">
        <f>'MidTerm OVPAA-F-INS-055B CLASS'!BV62</f>
        <v/>
      </c>
      <c r="G57" s="22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25" t="str">
        <f>IF(NOT(ISBLANK('Midterm OVPAA-F-INS-055A RAW SC'!G63)),'Midterm OVPAA-F-INS-055A RAW SC'!G63,"")</f>
        <v/>
      </c>
      <c r="D58" s="226"/>
      <c r="E58" s="227"/>
      <c r="F58" s="228" t="str">
        <f>'MidTerm OVPAA-F-INS-055B CLASS'!BV63</f>
        <v/>
      </c>
      <c r="G58" s="22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25" t="str">
        <f>IF(NOT(ISBLANK('Midterm OVPAA-F-INS-055A RAW SC'!G64)),'Midterm OVPAA-F-INS-055A RAW SC'!G64,"")</f>
        <v/>
      </c>
      <c r="D59" s="226"/>
      <c r="E59" s="227"/>
      <c r="F59" s="228" t="str">
        <f>'MidTerm OVPAA-F-INS-055B CLASS'!BV64</f>
        <v/>
      </c>
      <c r="G59" s="22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25" t="str">
        <f>IF(NOT(ISBLANK('Midterm OVPAA-F-INS-055A RAW SC'!G65)),'Midterm OVPAA-F-INS-055A RAW SC'!G65,"")</f>
        <v/>
      </c>
      <c r="D60" s="226"/>
      <c r="E60" s="227"/>
      <c r="F60" s="228" t="str">
        <f>'MidTerm OVPAA-F-INS-055B CLASS'!BV65</f>
        <v/>
      </c>
      <c r="G60" s="22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25" t="str">
        <f>IF(NOT(ISBLANK('Midterm OVPAA-F-INS-055A RAW SC'!G66)),'Midterm OVPAA-F-INS-055A RAW SC'!G66,"")</f>
        <v/>
      </c>
      <c r="D61" s="226"/>
      <c r="E61" s="227"/>
      <c r="F61" s="228" t="str">
        <f>'MidTerm OVPAA-F-INS-055B CLASS'!BV66</f>
        <v/>
      </c>
      <c r="G61" s="22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25" t="str">
        <f>IF(NOT(ISBLANK('Midterm OVPAA-F-INS-055A RAW SC'!G67)),'Midterm OVPAA-F-INS-055A RAW SC'!G67,"")</f>
        <v/>
      </c>
      <c r="D62" s="226"/>
      <c r="E62" s="227"/>
      <c r="F62" s="228" t="str">
        <f>'MidTerm OVPAA-F-INS-055B CLASS'!BV67</f>
        <v/>
      </c>
      <c r="G62" s="22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25" t="str">
        <f>IF(NOT(ISBLANK('Midterm OVPAA-F-INS-055A RAW SC'!G68)),'Midterm OVPAA-F-INS-055A RAW SC'!G68,"")</f>
        <v/>
      </c>
      <c r="D63" s="226"/>
      <c r="E63" s="227"/>
      <c r="F63" s="228" t="str">
        <f>'MidTerm OVPAA-F-INS-055B CLASS'!BV68</f>
        <v/>
      </c>
      <c r="G63" s="22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25" t="str">
        <f>IF(NOT(ISBLANK('Midterm OVPAA-F-INS-055A RAW SC'!G69)),'Midterm OVPAA-F-INS-055A RAW SC'!G69,"")</f>
        <v/>
      </c>
      <c r="D64" s="226"/>
      <c r="E64" s="227"/>
      <c r="F64" s="228" t="str">
        <f>'MidTerm OVPAA-F-INS-055B CLASS'!BV69</f>
        <v/>
      </c>
      <c r="G64" s="22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25" t="str">
        <f>IF(NOT(ISBLANK('Midterm OVPAA-F-INS-055A RAW SC'!G70)),'Midterm OVPAA-F-INS-055A RAW SC'!G70,"")</f>
        <v/>
      </c>
      <c r="D65" s="226"/>
      <c r="E65" s="227"/>
      <c r="F65" s="228" t="str">
        <f>'MidTerm OVPAA-F-INS-055B CLASS'!BV70</f>
        <v/>
      </c>
      <c r="G65" s="22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25" t="str">
        <f>IF(NOT(ISBLANK('Midterm OVPAA-F-INS-055A RAW SC'!G71)),'Midterm OVPAA-F-INS-055A RAW SC'!G71,"")</f>
        <v/>
      </c>
      <c r="D66" s="226"/>
      <c r="E66" s="227"/>
      <c r="F66" s="228" t="str">
        <f>'MidTerm OVPAA-F-INS-055B CLASS'!BV71</f>
        <v/>
      </c>
      <c r="G66" s="22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25" t="str">
        <f>IF(NOT(ISBLANK('Midterm OVPAA-F-INS-055A RAW SC'!G72)),'Midterm OVPAA-F-INS-055A RAW SC'!G72,"")</f>
        <v/>
      </c>
      <c r="D67" s="226"/>
      <c r="E67" s="227"/>
      <c r="F67" s="228" t="str">
        <f>'MidTerm OVPAA-F-INS-055B CLASS'!BV72</f>
        <v/>
      </c>
      <c r="G67" s="22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25" t="str">
        <f>IF(NOT(ISBLANK('Midterm OVPAA-F-INS-055A RAW SC'!G73)),'Midterm OVPAA-F-INS-055A RAW SC'!G73,"")</f>
        <v/>
      </c>
      <c r="D68" s="226"/>
      <c r="E68" s="227"/>
      <c r="F68" s="228" t="str">
        <f>'MidTerm OVPAA-F-INS-055B CLASS'!BV73</f>
        <v/>
      </c>
      <c r="G68" s="22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25" t="str">
        <f>IF(NOT(ISBLANK('Midterm OVPAA-F-INS-055A RAW SC'!G74)),'Midterm OVPAA-F-INS-055A RAW SC'!G74,"")</f>
        <v/>
      </c>
      <c r="D69" s="226"/>
      <c r="E69" s="227"/>
      <c r="F69" s="228" t="str">
        <f>'MidTerm OVPAA-F-INS-055B CLASS'!BV74</f>
        <v/>
      </c>
      <c r="G69" s="22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25" t="str">
        <f>IF(NOT(ISBLANK('Midterm OVPAA-F-INS-055A RAW SC'!G75)),'Midterm OVPAA-F-INS-055A RAW SC'!G75,"")</f>
        <v/>
      </c>
      <c r="D70" s="226"/>
      <c r="E70" s="227"/>
      <c r="F70" s="228" t="str">
        <f>'MidTerm OVPAA-F-INS-055B CLASS'!BV75</f>
        <v/>
      </c>
      <c r="G70" s="22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25" t="str">
        <f>IF(NOT(ISBLANK('Midterm OVPAA-F-INS-055A RAW SC'!G76)),'Midterm OVPAA-F-INS-055A RAW SC'!G76,"")</f>
        <v/>
      </c>
      <c r="D71" s="226"/>
      <c r="E71" s="227"/>
      <c r="F71" s="228" t="str">
        <f>'MidTerm OVPAA-F-INS-055B CLASS'!BV76</f>
        <v/>
      </c>
      <c r="G71" s="22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25" t="str">
        <f>IF(NOT(ISBLANK('Midterm OVPAA-F-INS-055A RAW SC'!G77)),'Midterm OVPAA-F-INS-055A RAW SC'!G77,"")</f>
        <v/>
      </c>
      <c r="D72" s="226"/>
      <c r="E72" s="227"/>
      <c r="F72" s="228" t="str">
        <f>'MidTerm OVPAA-F-INS-055B CLASS'!BV77</f>
        <v/>
      </c>
      <c r="G72" s="22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25" t="str">
        <f>IF(NOT(ISBLANK('Midterm OVPAA-F-INS-055A RAW SC'!G78)),'Midterm OVPAA-F-INS-055A RAW SC'!G78,"")</f>
        <v/>
      </c>
      <c r="D73" s="226"/>
      <c r="E73" s="227"/>
      <c r="F73" s="228" t="str">
        <f>'MidTerm OVPAA-F-INS-055B CLASS'!BV78</f>
        <v/>
      </c>
      <c r="G73" s="22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25" t="str">
        <f>IF(NOT(ISBLANK('Midterm OVPAA-F-INS-055A RAW SC'!G79)),'Midterm OVPAA-F-INS-055A RAW SC'!G79,"")</f>
        <v/>
      </c>
      <c r="D74" s="226"/>
      <c r="E74" s="227"/>
      <c r="F74" s="228" t="str">
        <f>'MidTerm OVPAA-F-INS-055B CLASS'!BV79</f>
        <v/>
      </c>
      <c r="G74" s="22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25" t="str">
        <f>IF(NOT(ISBLANK('Midterm OVPAA-F-INS-055A RAW SC'!G80)),'Midterm OVPAA-F-INS-055A RAW SC'!G80,"")</f>
        <v/>
      </c>
      <c r="D75" s="226"/>
      <c r="E75" s="227"/>
      <c r="F75" s="228" t="str">
        <f>'MidTerm OVPAA-F-INS-055B CLASS'!BV80</f>
        <v/>
      </c>
      <c r="G75" s="22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25" t="str">
        <f>IF(NOT(ISBLANK('Midterm OVPAA-F-INS-055A RAW SC'!G81)),'Midterm OVPAA-F-INS-055A RAW SC'!G81,"")</f>
        <v/>
      </c>
      <c r="D76" s="226"/>
      <c r="E76" s="227"/>
      <c r="F76" s="228" t="str">
        <f>'MidTerm OVPAA-F-INS-055B CLASS'!BV81</f>
        <v/>
      </c>
      <c r="G76" s="22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25" t="str">
        <f>IF(NOT(ISBLANK('Midterm OVPAA-F-INS-055A RAW SC'!G82)),'Midterm OVPAA-F-INS-055A RAW SC'!G82,"")</f>
        <v/>
      </c>
      <c r="D77" s="226"/>
      <c r="E77" s="227"/>
      <c r="F77" s="228" t="str">
        <f>'MidTerm OVPAA-F-INS-055B CLASS'!BV82</f>
        <v/>
      </c>
      <c r="G77" s="22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25" t="str">
        <f>IF(NOT(ISBLANK('Midterm OVPAA-F-INS-055A RAW SC'!G83)),'Midterm OVPAA-F-INS-055A RAW SC'!G83,"")</f>
        <v/>
      </c>
      <c r="D78" s="226"/>
      <c r="E78" s="227"/>
      <c r="F78" s="228" t="str">
        <f>'MidTerm OVPAA-F-INS-055B CLASS'!BV83</f>
        <v/>
      </c>
      <c r="G78" s="22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25" t="str">
        <f>IF(NOT(ISBLANK('Midterm OVPAA-F-INS-055A RAW SC'!G84)),'Midterm OVPAA-F-INS-055A RAW SC'!G84,"")</f>
        <v/>
      </c>
      <c r="D79" s="226"/>
      <c r="E79" s="227"/>
      <c r="F79" s="228" t="str">
        <f>'MidTerm OVPAA-F-INS-055B CLASS'!BV84</f>
        <v/>
      </c>
      <c r="G79" s="22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25" t="str">
        <f>IF(NOT(ISBLANK('Midterm OVPAA-F-INS-055A RAW SC'!G85)),'Midterm OVPAA-F-INS-055A RAW SC'!G85,"")</f>
        <v/>
      </c>
      <c r="D80" s="226"/>
      <c r="E80" s="227"/>
      <c r="F80" s="228" t="str">
        <f>'MidTerm OVPAA-F-INS-055B CLASS'!BV85</f>
        <v/>
      </c>
      <c r="G80" s="22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25" t="str">
        <f>IF(NOT(ISBLANK('Midterm OVPAA-F-INS-055A RAW SC'!G86)),'Midterm OVPAA-F-INS-055A RAW SC'!G86,"")</f>
        <v/>
      </c>
      <c r="D81" s="226"/>
      <c r="E81" s="227"/>
      <c r="F81" s="228" t="str">
        <f>'MidTerm OVPAA-F-INS-055B CLASS'!BV86</f>
        <v/>
      </c>
      <c r="G81" s="22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25" t="str">
        <f>IF(NOT(ISBLANK('Midterm OVPAA-F-INS-055A RAW SC'!G87)),'Midterm OVPAA-F-INS-055A RAW SC'!G87,"")</f>
        <v/>
      </c>
      <c r="D82" s="226"/>
      <c r="E82" s="227"/>
      <c r="F82" s="228" t="str">
        <f>'MidTerm OVPAA-F-INS-055B CLASS'!BV87</f>
        <v/>
      </c>
      <c r="G82" s="22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25" t="str">
        <f>IF(NOT(ISBLANK('Midterm OVPAA-F-INS-055A RAW SC'!G88)),'Midterm OVPAA-F-INS-055A RAW SC'!G88,"")</f>
        <v/>
      </c>
      <c r="D83" s="226"/>
      <c r="E83" s="227"/>
      <c r="F83" s="228" t="str">
        <f>'MidTerm OVPAA-F-INS-055B CLASS'!BV88</f>
        <v/>
      </c>
      <c r="G83" s="22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25" t="str">
        <f>IF(NOT(ISBLANK('Midterm OVPAA-F-INS-055A RAW SC'!G89)),'Midterm OVPAA-F-INS-055A RAW SC'!G89,"")</f>
        <v/>
      </c>
      <c r="D84" s="226"/>
      <c r="E84" s="227"/>
      <c r="F84" s="228" t="str">
        <f>'MidTerm OVPAA-F-INS-055B CLASS'!BV89</f>
        <v/>
      </c>
      <c r="G84" s="22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25" t="str">
        <f>IF(NOT(ISBLANK('Midterm OVPAA-F-INS-055A RAW SC'!G90)),'Midterm OVPAA-F-INS-055A RAW SC'!G90,"")</f>
        <v/>
      </c>
      <c r="D85" s="226"/>
      <c r="E85" s="227"/>
      <c r="F85" s="228" t="str">
        <f>'MidTerm OVPAA-F-INS-055B CLASS'!BV90</f>
        <v/>
      </c>
      <c r="G85" s="22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25" t="str">
        <f>IF(NOT(ISBLANK('Midterm OVPAA-F-INS-055A RAW SC'!G91)),'Midterm OVPAA-F-INS-055A RAW SC'!G91,"")</f>
        <v/>
      </c>
      <c r="D86" s="226"/>
      <c r="E86" s="227"/>
      <c r="F86" s="228" t="str">
        <f>'MidTerm OVPAA-F-INS-055B CLASS'!BV91</f>
        <v/>
      </c>
      <c r="G86" s="22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25" t="str">
        <f>IF(NOT(ISBLANK('Midterm OVPAA-F-INS-055A RAW SC'!G92)),'Midterm OVPAA-F-INS-055A RAW SC'!G92,"")</f>
        <v/>
      </c>
      <c r="D87" s="226"/>
      <c r="E87" s="227"/>
      <c r="F87" s="228" t="str">
        <f>'MidTerm OVPAA-F-INS-055B CLASS'!BV92</f>
        <v/>
      </c>
      <c r="G87" s="22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25" t="str">
        <f>IF(NOT(ISBLANK('Midterm OVPAA-F-INS-055A RAW SC'!G93)),'Midterm OVPAA-F-INS-055A RAW SC'!G93,"")</f>
        <v/>
      </c>
      <c r="D88" s="226"/>
      <c r="E88" s="227"/>
      <c r="F88" s="228" t="str">
        <f>'MidTerm OVPAA-F-INS-055B CLASS'!BV93</f>
        <v/>
      </c>
      <c r="G88" s="22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25" t="str">
        <f>IF(NOT(ISBLANK('Midterm OVPAA-F-INS-055A RAW SC'!G94)),'Midterm OVPAA-F-INS-055A RAW SC'!G94,"")</f>
        <v/>
      </c>
      <c r="D89" s="226"/>
      <c r="E89" s="227"/>
      <c r="F89" s="228" t="str">
        <f>'MidTerm OVPAA-F-INS-055B CLASS'!BV94</f>
        <v/>
      </c>
      <c r="G89" s="22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25" t="str">
        <f>IF(NOT(ISBLANK('Midterm OVPAA-F-INS-055A RAW SC'!G95)),'Midterm OVPAA-F-INS-055A RAW SC'!G95,"")</f>
        <v/>
      </c>
      <c r="D90" s="226"/>
      <c r="E90" s="227"/>
      <c r="F90" s="228" t="str">
        <f>'MidTerm OVPAA-F-INS-055B CLASS'!BV95</f>
        <v/>
      </c>
      <c r="G90" s="22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25" t="str">
        <f>IF(NOT(ISBLANK('Midterm OVPAA-F-INS-055A RAW SC'!G96)),'Midterm OVPAA-F-INS-055A RAW SC'!G96,"")</f>
        <v/>
      </c>
      <c r="D91" s="226"/>
      <c r="E91" s="227"/>
      <c r="F91" s="228" t="str">
        <f>'MidTerm OVPAA-F-INS-055B CLASS'!BV96</f>
        <v/>
      </c>
      <c r="G91" s="22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25" t="str">
        <f>IF(NOT(ISBLANK('Midterm OVPAA-F-INS-055A RAW SC'!G97)),'Midterm OVPAA-F-INS-055A RAW SC'!G97,"")</f>
        <v/>
      </c>
      <c r="D92" s="226"/>
      <c r="E92" s="227"/>
      <c r="F92" s="228" t="str">
        <f>'MidTerm OVPAA-F-INS-055B CLASS'!BV97</f>
        <v/>
      </c>
      <c r="G92" s="22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25" t="str">
        <f>IF(NOT(ISBLANK('Midterm OVPAA-F-INS-055A RAW SC'!G98)),'Midterm OVPAA-F-INS-055A RAW SC'!G98,"")</f>
        <v/>
      </c>
      <c r="D93" s="226"/>
      <c r="E93" s="227"/>
      <c r="F93" s="228" t="str">
        <f>'MidTerm OVPAA-F-INS-055B CLASS'!BV98</f>
        <v/>
      </c>
      <c r="G93" s="22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25" t="str">
        <f>IF(NOT(ISBLANK('Midterm OVPAA-F-INS-055A RAW SC'!G99)),'Midterm OVPAA-F-INS-055A RAW SC'!G99,"")</f>
        <v/>
      </c>
      <c r="D94" s="226"/>
      <c r="E94" s="227"/>
      <c r="F94" s="228" t="str">
        <f>'MidTerm OVPAA-F-INS-055B CLASS'!BV99</f>
        <v/>
      </c>
      <c r="G94" s="22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25" t="str">
        <f>IF(NOT(ISBLANK('Midterm OVPAA-F-INS-055A RAW SC'!G100)),'Midterm OVPAA-F-INS-055A RAW SC'!G100,"")</f>
        <v/>
      </c>
      <c r="D95" s="226"/>
      <c r="E95" s="227"/>
      <c r="F95" s="228" t="str">
        <f>'MidTerm OVPAA-F-INS-055B CLASS'!BV100</f>
        <v/>
      </c>
      <c r="G95" s="22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25" t="str">
        <f>IF(NOT(ISBLANK('Midterm OVPAA-F-INS-055A RAW SC'!G101)),'Midterm OVPAA-F-INS-055A RAW SC'!G101,"")</f>
        <v/>
      </c>
      <c r="D96" s="226"/>
      <c r="E96" s="227"/>
      <c r="F96" s="228" t="str">
        <f>'MidTerm OVPAA-F-INS-055B CLASS'!BV101</f>
        <v/>
      </c>
      <c r="G96" s="22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25" t="str">
        <f>IF(NOT(ISBLANK('Midterm OVPAA-F-INS-055A RAW SC'!G102)),'Midterm OVPAA-F-INS-055A RAW SC'!G102,"")</f>
        <v/>
      </c>
      <c r="D97" s="226"/>
      <c r="E97" s="227"/>
      <c r="F97" s="228" t="str">
        <f>'MidTerm OVPAA-F-INS-055B CLASS'!BV102</f>
        <v/>
      </c>
      <c r="G97" s="22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25" t="str">
        <f>IF(NOT(ISBLANK('Midterm OVPAA-F-INS-055A RAW SC'!G103)),'Midterm OVPAA-F-INS-055A RAW SC'!G103,"")</f>
        <v/>
      </c>
      <c r="D98" s="226"/>
      <c r="E98" s="227"/>
      <c r="F98" s="228" t="str">
        <f>'MidTerm OVPAA-F-INS-055B CLASS'!BV103</f>
        <v/>
      </c>
      <c r="G98" s="22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25" t="str">
        <f>IF(NOT(ISBLANK('Midterm OVPAA-F-INS-055A RAW SC'!G104)),'Midterm OVPAA-F-INS-055A RAW SC'!G104,"")</f>
        <v/>
      </c>
      <c r="D99" s="226"/>
      <c r="E99" s="227"/>
      <c r="F99" s="228" t="str">
        <f>'MidTerm OVPAA-F-INS-055B CLASS'!BV104</f>
        <v/>
      </c>
      <c r="G99" s="22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25" t="str">
        <f>IF(NOT(ISBLANK('Midterm OVPAA-F-INS-055A RAW SC'!G105)),'Midterm OVPAA-F-INS-055A RAW SC'!G105,"")</f>
        <v/>
      </c>
      <c r="D100" s="226"/>
      <c r="E100" s="227"/>
      <c r="F100" s="228" t="str">
        <f>'MidTerm OVPAA-F-INS-055B CLASS'!BV105</f>
        <v/>
      </c>
      <c r="G100" s="22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25" t="str">
        <f>IF(NOT(ISBLANK('Midterm OVPAA-F-INS-055A RAW SC'!G106)),'Midterm OVPAA-F-INS-055A RAW SC'!G106,"")</f>
        <v/>
      </c>
      <c r="D101" s="226"/>
      <c r="E101" s="227"/>
      <c r="F101" s="228" t="str">
        <f>'MidTerm OVPAA-F-INS-055B CLASS'!BV106</f>
        <v/>
      </c>
      <c r="G101" s="22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25" t="str">
        <f>IF(NOT(ISBLANK('Midterm OVPAA-F-INS-055A RAW SC'!G107)),'Midterm OVPAA-F-INS-055A RAW SC'!G107,"")</f>
        <v/>
      </c>
      <c r="D102" s="226"/>
      <c r="E102" s="227"/>
      <c r="F102" s="228" t="str">
        <f>'MidTerm OVPAA-F-INS-055B CLASS'!BV107</f>
        <v/>
      </c>
      <c r="G102" s="22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25" t="str">
        <f>IF(NOT(ISBLANK('Midterm OVPAA-F-INS-055A RAW SC'!G108)),'Midterm OVPAA-F-INS-055A RAW SC'!G108,"")</f>
        <v/>
      </c>
      <c r="D103" s="226"/>
      <c r="E103" s="227"/>
      <c r="F103" s="228" t="str">
        <f>'MidTerm OVPAA-F-INS-055B CLASS'!BV108</f>
        <v/>
      </c>
      <c r="G103" s="22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25" t="str">
        <f>IF(NOT(ISBLANK('Midterm OVPAA-F-INS-055A RAW SC'!G109)),'Midterm OVPAA-F-INS-055A RAW SC'!G109,"")</f>
        <v/>
      </c>
      <c r="D104" s="226"/>
      <c r="E104" s="227"/>
      <c r="F104" s="228" t="str">
        <f>'MidTerm OVPAA-F-INS-055B CLASS'!BV109</f>
        <v/>
      </c>
      <c r="G104" s="22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25" t="str">
        <f>IF(NOT(ISBLANK('Midterm OVPAA-F-INS-055A RAW SC'!G110)),'Midterm OVPAA-F-INS-055A RAW SC'!G110,"")</f>
        <v/>
      </c>
      <c r="D105" s="226"/>
      <c r="E105" s="227"/>
      <c r="F105" s="228" t="str">
        <f>'MidTerm OVPAA-F-INS-055B CLASS'!BV110</f>
        <v/>
      </c>
      <c r="G105" s="22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25" t="str">
        <f>IF(NOT(ISBLANK('Midterm OVPAA-F-INS-055A RAW SC'!G111)),'Midterm OVPAA-F-INS-055A RAW SC'!G111,"")</f>
        <v/>
      </c>
      <c r="D106" s="226"/>
      <c r="E106" s="227"/>
      <c r="F106" s="228" t="str">
        <f>'MidTerm OVPAA-F-INS-055B CLASS'!BV111</f>
        <v/>
      </c>
      <c r="G106" s="22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25" t="str">
        <f>IF(NOT(ISBLANK('Midterm OVPAA-F-INS-055A RAW SC'!G112)),'Midterm OVPAA-F-INS-055A RAW SC'!G112,"")</f>
        <v/>
      </c>
      <c r="D107" s="226"/>
      <c r="E107" s="227"/>
      <c r="F107" s="228" t="str">
        <f>'MidTerm OVPAA-F-INS-055B CLASS'!BV112</f>
        <v/>
      </c>
      <c r="G107" s="22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25" t="str">
        <f>IF(NOT(ISBLANK('Midterm OVPAA-F-INS-055A RAW SC'!G113)),'Midterm OVPAA-F-INS-055A RAW SC'!G113,"")</f>
        <v/>
      </c>
      <c r="D108" s="226"/>
      <c r="E108" s="227"/>
      <c r="F108" s="228" t="str">
        <f>'MidTerm OVPAA-F-INS-055B CLASS'!BV113</f>
        <v/>
      </c>
      <c r="G108" s="22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25" t="str">
        <f>IF(NOT(ISBLANK('Midterm OVPAA-F-INS-055A RAW SC'!G114)),'Midterm OVPAA-F-INS-055A RAW SC'!G114,"")</f>
        <v/>
      </c>
      <c r="D109" s="226"/>
      <c r="E109" s="227"/>
      <c r="F109" s="228" t="str">
        <f>'MidTerm OVPAA-F-INS-055B CLASS'!BV114</f>
        <v/>
      </c>
      <c r="G109" s="22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25" t="str">
        <f>IF(NOT(ISBLANK('Midterm OVPAA-F-INS-055A RAW SC'!G115)),'Midterm OVPAA-F-INS-055A RAW SC'!G115,"")</f>
        <v/>
      </c>
      <c r="D110" s="226"/>
      <c r="E110" s="227"/>
      <c r="F110" s="228" t="str">
        <f>'MidTerm OVPAA-F-INS-055B CLASS'!BV115</f>
        <v/>
      </c>
      <c r="G110" s="22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25" t="str">
        <f>IF(NOT(ISBLANK('Midterm OVPAA-F-INS-055A RAW SC'!G116)),'Midterm OVPAA-F-INS-055A RAW SC'!G116,"")</f>
        <v/>
      </c>
      <c r="D111" s="226"/>
      <c r="E111" s="227"/>
      <c r="F111" s="228" t="str">
        <f>'MidTerm OVPAA-F-INS-055B CLASS'!BV116</f>
        <v/>
      </c>
      <c r="G111" s="22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25" t="str">
        <f>IF(NOT(ISBLANK('Midterm OVPAA-F-INS-055A RAW SC'!G117)),'Midterm OVPAA-F-INS-055A RAW SC'!G117,"")</f>
        <v/>
      </c>
      <c r="D112" s="226"/>
      <c r="E112" s="227"/>
      <c r="F112" s="228" t="str">
        <f>'MidTerm OVPAA-F-INS-055B CLASS'!BV117</f>
        <v/>
      </c>
      <c r="G112" s="22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42" t="s">
        <v>111</v>
      </c>
      <c r="B114" s="222"/>
      <c r="C114" s="181"/>
      <c r="D114" s="181" t="s">
        <v>112</v>
      </c>
      <c r="E114" s="181"/>
      <c r="F114" s="242"/>
      <c r="G114" s="222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21" t="str">
        <f>'Midterm OVPAA-F-INS-055A RAW SC'!G12</f>
        <v>Czarissa Louise A. Navidad</v>
      </c>
      <c r="B117" s="222"/>
      <c r="C117" s="222"/>
      <c r="D117" s="221" t="str">
        <f>'Midterm OVPAA-F-INS-055A RAW SC'!K11</f>
        <v>Dr. Sales G. Aribe, Jr.</v>
      </c>
      <c r="E117" s="222"/>
      <c r="F117" s="222"/>
      <c r="G117" s="222"/>
      <c r="H117" s="200"/>
      <c r="I117" s="221" t="str">
        <f>'Midterm OVPAA-F-INS-055A RAW SC'!K12</f>
        <v>Dr. Marilou O. Espina</v>
      </c>
      <c r="J117" s="222"/>
      <c r="K117" s="222"/>
      <c r="L117" s="222"/>
      <c r="M117" s="222"/>
      <c r="N117" s="222"/>
      <c r="O117" s="222"/>
      <c r="P117" s="222"/>
      <c r="Q117" s="222"/>
      <c r="R117" s="222"/>
    </row>
    <row r="118" spans="1:33" ht="35.25" customHeight="1">
      <c r="A118" s="223" t="s">
        <v>114</v>
      </c>
      <c r="B118" s="222"/>
      <c r="C118" s="222"/>
      <c r="D118" s="223" t="str">
        <f>CONCATENATE("Department Head, ",'Midterm OVPAA-F-INS-055A RAW SC'!V10)</f>
        <v>Department Head, Information Technology</v>
      </c>
      <c r="E118" s="222"/>
      <c r="F118" s="222"/>
      <c r="G118" s="222"/>
      <c r="H118" s="201"/>
      <c r="I118" s="223" t="str">
        <f>CONCATENATE("Dean, ",'Midterm OVPAA-F-INS-055A RAW SC'!V11)</f>
        <v>Dean, College of Technologies</v>
      </c>
      <c r="J118" s="222"/>
      <c r="K118" s="222"/>
      <c r="L118" s="222"/>
      <c r="M118" s="222"/>
      <c r="N118" s="222"/>
      <c r="O118" s="222"/>
      <c r="P118" s="222"/>
      <c r="Q118" s="222"/>
      <c r="R118" s="22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24" t="s">
        <v>115</v>
      </c>
      <c r="B119" s="222"/>
      <c r="C119" s="222"/>
      <c r="D119" s="224" t="s">
        <v>115</v>
      </c>
      <c r="E119" s="222"/>
      <c r="F119" s="222"/>
      <c r="G119" s="203"/>
      <c r="H119" s="203"/>
      <c r="I119" s="224" t="s">
        <v>115</v>
      </c>
      <c r="J119" s="222"/>
      <c r="K119" s="222"/>
      <c r="L119" s="222"/>
      <c r="M119" s="222"/>
      <c r="N119" s="222"/>
      <c r="O119" s="222"/>
      <c r="P119" s="222"/>
      <c r="Q119" s="222"/>
      <c r="R119" s="222"/>
    </row>
    <row r="120" spans="1:33" ht="15.75" customHeight="1"/>
    <row r="121" spans="1:33" ht="15.75" customHeight="1">
      <c r="A121" s="240"/>
      <c r="B121" s="222"/>
      <c r="C121" s="222"/>
      <c r="D121" s="241"/>
      <c r="E121" s="222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/>
  <headerFooter>
    <oddFooter>&amp;LDocument Code: OVPAA-F-INS-056&amp;CRevision No.: 04                Issue Date: September 16, 2024&amp;R Page 1 of 1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>
      <c r="A2" s="5" t="s">
        <v>16</v>
      </c>
      <c r="B2" s="5" t="s">
        <v>120</v>
      </c>
    </row>
    <row r="3" spans="1:6">
      <c r="A3" s="5" t="s">
        <v>121</v>
      </c>
      <c r="B3" s="5" t="s">
        <v>122</v>
      </c>
      <c r="C3" s="2" t="s">
        <v>123</v>
      </c>
    </row>
    <row r="4" spans="1:6">
      <c r="B4" s="5" t="s">
        <v>124</v>
      </c>
      <c r="C4" s="2" t="s">
        <v>125</v>
      </c>
    </row>
    <row r="5" spans="1:6">
      <c r="C5" s="2" t="s">
        <v>126</v>
      </c>
    </row>
    <row r="6" spans="1:6">
      <c r="C6" s="2" t="s">
        <v>119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1" t="s">
        <v>127</v>
      </c>
      <c r="C1" s="222"/>
      <c r="D1" s="222"/>
      <c r="F1" s="281" t="s">
        <v>128</v>
      </c>
      <c r="G1" s="222"/>
      <c r="H1" s="222"/>
    </row>
    <row r="2" spans="2:8" ht="15" customHeight="1">
      <c r="B2" s="222"/>
      <c r="C2" s="222"/>
      <c r="D2" s="222"/>
      <c r="F2" s="222"/>
      <c r="G2" s="222"/>
      <c r="H2" s="222"/>
    </row>
    <row r="3" spans="2:8">
      <c r="C3" s="3" t="s">
        <v>129</v>
      </c>
      <c r="D3" s="3" t="s">
        <v>130</v>
      </c>
      <c r="G3" s="3" t="s">
        <v>129</v>
      </c>
      <c r="H3" s="3" t="s">
        <v>130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131</v>
      </c>
      <c r="C19" s="5" t="s">
        <v>132</v>
      </c>
      <c r="E19" s="212"/>
    </row>
    <row r="20" spans="2:8" ht="6" customHeight="1"/>
    <row r="21" spans="2:8" ht="15.75" customHeight="1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2026-03-24T06:16:36Z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