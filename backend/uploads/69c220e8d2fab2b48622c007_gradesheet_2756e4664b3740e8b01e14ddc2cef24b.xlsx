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1C24920E-479B-447F-9A44-E7DEEA9563A2}" xr6:coauthVersionLast="47" xr6:coauthVersionMax="47" xr10:uidLastSave="{00000000-0000-0000-0000-000000000000}"/>
  <bookViews>
    <workbookView xWindow="2640" yWindow="2640" windowWidth="15375" windowHeight="7785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18" i="4" l="1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Q18" i="4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Q18" i="2" s="1" a="1"/>
  <c r="CQ18" i="2" s="1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8" i="2" l="1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<sst xmlns="http://schemas.openxmlformats.org/spreadsheetml/2006/main" count="453" uniqueCount="135">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</sst>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G13" zoomScale="79" workbookViewId="0">
      <selection activeCell="CP18" sqref="CP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E3" s="229" t="s">
        <v>1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E4" s="230" t="s">
        <v>2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57" t="s">
        <v>3</v>
      </c>
      <c r="F7" s="224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6"/>
      <c r="AC7" s="225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7" t="s">
        <v>7</v>
      </c>
      <c r="F8" s="224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6"/>
      <c r="AC8" s="225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7" t="s">
        <v>11</v>
      </c>
      <c r="F9" s="224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6"/>
      <c r="AC9" s="225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7" t="s">
        <v>15</v>
      </c>
      <c r="F10" s="224"/>
      <c r="G10" s="7" t="s">
        <v>16</v>
      </c>
      <c r="H10" s="5"/>
      <c r="I10" s="3" t="s">
        <v>17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4"/>
      <c r="U10" s="224"/>
      <c r="V10" s="258" t="s">
        <v>19</v>
      </c>
      <c r="W10" s="256"/>
      <c r="X10" s="256"/>
      <c r="Y10" s="256"/>
      <c r="Z10" s="256"/>
      <c r="AA10" s="2"/>
      <c r="AB10" s="6"/>
      <c r="AC10" s="225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7" t="s">
        <v>20</v>
      </c>
      <c r="F11" s="224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4"/>
      <c r="U11" s="224"/>
      <c r="V11" s="262" t="s">
        <v>25</v>
      </c>
      <c r="W11" s="263"/>
      <c r="X11" s="263"/>
      <c r="Y11" s="263"/>
      <c r="Z11" s="263"/>
      <c r="AA11" s="2"/>
      <c r="AB11" s="227"/>
      <c r="AC11" s="224"/>
      <c r="AD11" s="22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3"/>
      <c r="BR11" s="22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2"/>
      <c r="G12" s="11" t="s">
        <v>27</v>
      </c>
      <c r="H12" s="5"/>
      <c r="I12" s="10" t="s">
        <v>28</v>
      </c>
      <c r="J12" s="11"/>
      <c r="K12" s="260" t="s">
        <v>29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v>0.5</v>
      </c>
      <c r="X12" s="221"/>
      <c r="Y12" s="222"/>
      <c r="Z12" s="11"/>
      <c r="AA12" s="16"/>
      <c r="AB12" s="264"/>
      <c r="AC12" s="222"/>
      <c r="AD12" s="22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1"/>
      <c r="BR12" s="22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CT16" zoomScale="72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6" t="e">
        <f>IF(CQ18="","",VLOOKUP(CQ18,IF('Midterm OVPAA-F-INS-055A RAW SC'!$V$12=0.5,TRANSMUTATION!$C$4:$D$17,TRANSMUTATION!$G$4:$H$17),2,TRUE))</f>
        <v>#DIV/0!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 t="e">
        <f t="shared" ref="DF18:DF117" si="2">IF(CR18="","",(CR18*DF$15))</f>
        <v>#DIV/0!</v>
      </c>
      <c r="DG18" s="122">
        <f t="shared" ref="DG18:DG117" si="3">IF(DD18="","",(DD18*DG$15))</f>
        <v>2</v>
      </c>
      <c r="DH18" s="120" t="e">
        <f t="shared" ref="DH18:DH117" si="4">IF($DF$15="",IF(OR(DE18="",DG18="")=TRUE,"",(SUM(DE18:DG18))),IF(OR(DE18="",DF18="",DG18="")=TRUE,"",(SUM(DE18:DG18))))</f>
        <v>#DIV/0!</v>
      </c>
      <c r="DI18" s="123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7" workbookViewId="0">
      <selection activeCell="G18" sqref="G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</row>
    <row r="12" spans="5:102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50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4" zoomScale="71" workbookViewId="0">
      <selection activeCell="DK16" sqref="DK1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C1" workbookViewId="0">
      <selection activeCell="Q28" sqref="Q28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33" ht="16.5">
      <c r="B3" s="229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33">
      <c r="B4" s="230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4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e">
        <f ca="1">_xludf.CONCAT(_xludf.CONCAT("CS (",'MidTerm OVPAA-F-INS-055B CLASS'!DE15*100),"%)")</f>
        <v>#NAME?</v>
      </c>
      <c r="G12" s="266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 t="e">
        <f>'MidTerm OVPAA-F-INS-055B CLASS'!CR18</f>
        <v>#DIV/0!</v>
      </c>
      <c r="I13" s="195">
        <f>'MidTerm OVPAA-F-INS-055B CLASS'!DD18</f>
        <v>5</v>
      </c>
      <c r="J13" s="195" t="e">
        <f>'MidTerm OVPAA-F-INS-055B CLASS'!DI18</f>
        <v>#DIV/0!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e">
        <f t="shared" ref="O13:O112" si="0">J13</f>
        <v>#DIV/0!</v>
      </c>
      <c r="P13" s="195" t="str">
        <f t="shared" ref="P13:P112" si="1">N13</f>
        <v>5.00</v>
      </c>
      <c r="Q13" s="195" t="e">
        <f t="shared" ref="Q13:Q112" si="2">IF(O13="","",IF(P13="","",LOOKUP(((((O13/3)+((P13/3)*2)))),{0,1.1251,1.3751,1.6251,1.8751,2.1251,2.3751,2.6251,2.8751,3.1251,9},{"1.00","1.25","1.50","1.75","2.00","2.25","2.50","2.75","3.00","5.00"})))</f>
        <v>#DIV/0!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4"/>
      <c r="C114" s="181"/>
      <c r="D114" s="181" t="s">
        <v>112</v>
      </c>
      <c r="E114" s="181"/>
      <c r="F114" s="270"/>
      <c r="G114" s="224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4"/>
      <c r="C117" s="224"/>
      <c r="D117" s="271" t="str">
        <f>'Midterm OVPAA-F-INS-055A RAW SC'!K11</f>
        <v>Dr. Sales G. Aribe, Jr.</v>
      </c>
      <c r="E117" s="224"/>
      <c r="F117" s="224"/>
      <c r="G117" s="224"/>
      <c r="H117" s="200"/>
      <c r="I117" s="271" t="str">
        <f>'Midterm OVPAA-F-INS-055A RAW SC'!K12</f>
        <v>Dr. Marilou O. Espina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 spans="1:33" ht="35.25" customHeight="1">
      <c r="A118" s="272" t="s">
        <v>114</v>
      </c>
      <c r="B118" s="224"/>
      <c r="C118" s="224"/>
      <c r="D118" s="272" t="str">
        <f>CONCATENATE("Department Head, ",'Midterm OVPAA-F-INS-055A RAW SC'!V10)</f>
        <v>Department Head, Information Technology</v>
      </c>
      <c r="E118" s="224"/>
      <c r="F118" s="224"/>
      <c r="G118" s="224"/>
      <c r="H118" s="201"/>
      <c r="I118" s="272" t="str">
        <f>CONCATENATE("Dean, ",'Midterm OVPAA-F-INS-055A RAW SC'!V11)</f>
        <v>Dean, College of Technologies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4"/>
      <c r="C119" s="224"/>
      <c r="D119" s="273" t="s">
        <v>115</v>
      </c>
      <c r="E119" s="224"/>
      <c r="F119" s="224"/>
      <c r="G119" s="203"/>
      <c r="H119" s="203"/>
      <c r="I119" s="273" t="s">
        <v>115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 spans="1:33" ht="15.75" customHeight="1"/>
    <row r="121" spans="1:33" ht="15.75" customHeight="1">
      <c r="A121" s="268"/>
      <c r="B121" s="224"/>
      <c r="C121" s="224"/>
      <c r="D121" s="269"/>
      <c r="E121" s="224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4"/>
      <c r="D1" s="224"/>
      <c r="F1" s="281" t="s">
        <v>128</v>
      </c>
      <c r="G1" s="224"/>
      <c r="H1" s="224"/>
    </row>
    <row r="2" spans="2:8" ht="15" customHeight="1">
      <c r="B2" s="224"/>
      <c r="C2" s="224"/>
      <c r="D2" s="224"/>
      <c r="F2" s="224"/>
      <c r="G2" s="224"/>
      <c r="H2" s="224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