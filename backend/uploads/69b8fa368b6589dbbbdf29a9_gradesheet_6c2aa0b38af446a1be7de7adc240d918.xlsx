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BAD7BF36-05E3-424F-8070-246E1D05D40A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H35" i="7" l="1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M12" i="5"/>
  <c r="L12" i="5"/>
  <c r="K12" i="5"/>
  <c r="I12" i="5"/>
  <c r="H12" i="5"/>
  <c r="F12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Q21" i="4" s="1" a="1"/>
  <c r="CQ21" i="4" s="1"/>
  <c r="CR21" i="4" s="1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BU21" i="4" s="1" a="1"/>
  <c r="BU21" i="4" s="1"/>
  <c r="BV21" i="4" s="1"/>
  <c r="G21" i="4"/>
  <c r="F21" i="4"/>
  <c r="DB20" i="4"/>
  <c r="DA20" i="4"/>
  <c r="CZ20" i="4"/>
  <c r="CY20" i="4"/>
  <c r="CX20" i="4"/>
  <c r="CW20" i="4"/>
  <c r="CV20" i="4"/>
  <c r="DC20" i="4" s="1" a="1"/>
  <c r="DC20" i="4" s="1"/>
  <c r="DD20" i="4" s="1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CQ20" i="4" s="1" a="1"/>
  <c r="CQ20" i="4" s="1"/>
  <c r="CR20" i="4" s="1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DC19" i="4" s="1" a="1"/>
  <c r="DC19" i="4" s="1"/>
  <c r="DD19" i="4" s="1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Y19" i="4"/>
  <c r="BX19" i="4"/>
  <c r="BW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DC18" i="4" s="1" a="1"/>
  <c r="DC18" i="4" s="1"/>
  <c r="DD18" i="4" s="1"/>
  <c r="CU18" i="4"/>
  <c r="CT18" i="4"/>
  <c r="CS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CQ18" i="4" s="1" a="1"/>
  <c r="CQ18" i="4" s="1"/>
  <c r="CR18" i="4" s="1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G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BU22" i="4" s="1" a="1"/>
  <c r="BU22" i="4" s="1"/>
  <c r="BV22" i="4" s="1"/>
  <c r="F22" i="3"/>
  <c r="G21" i="3"/>
  <c r="F21" i="3"/>
  <c r="G20" i="3"/>
  <c r="BU20" i="4" s="1" a="1"/>
  <c r="BU20" i="4" s="1"/>
  <c r="BV20" i="4" s="1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BU29" i="2" s="1" a="1"/>
  <c r="BU29" i="2" s="1"/>
  <c r="BV29" i="2" s="1"/>
  <c r="H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BU25" i="2" s="1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I23" i="2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I21" i="2"/>
  <c r="H21" i="2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H20" i="2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BU19" i="2" s="1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T18" i="2"/>
  <c r="CS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CQ18" i="2" s="1" a="1"/>
  <c r="CQ18" i="2" s="1"/>
  <c r="CR18" i="2" s="1"/>
  <c r="BW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F31" i="5" l="1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DH18" i="2" s="1"/>
  <c r="DI18" i="2" s="1"/>
  <c r="J13" i="5" s="1"/>
  <c r="O13" i="5" s="1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K17" i="5"/>
  <c r="DE22" i="4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DH19" i="4" s="1"/>
  <c r="DI19" i="4" s="1"/>
  <c r="N14" i="5" s="1"/>
  <c r="P14" i="5" s="1"/>
  <c r="K18" i="5"/>
  <c r="DE23" i="4"/>
  <c r="K22" i="5"/>
  <c r="DE27" i="4"/>
  <c r="K26" i="5"/>
  <c r="DE31" i="4"/>
  <c r="K30" i="5"/>
  <c r="DE35" i="4"/>
  <c r="K34" i="5"/>
  <c r="DE39" i="4"/>
  <c r="M13" i="5"/>
  <c r="DG18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DH20" i="4" s="1"/>
  <c r="DI20" i="4" s="1"/>
  <c r="N15" i="5" s="1"/>
  <c r="P15" i="5" s="1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5" i="5"/>
  <c r="DG2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K16" i="5"/>
  <c r="DE21" i="4"/>
  <c r="DH21" i="4" s="1"/>
  <c r="DI21" i="4" s="1"/>
  <c r="N16" i="5" s="1"/>
  <c r="P16" i="5" s="1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H117" i="4" l="1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Q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Q18" i="5"/>
  <c r="DH19" i="2"/>
  <c r="DI19" i="2" s="1"/>
  <c r="J14" i="5" s="1"/>
  <c r="O14" i="5" s="1"/>
  <c r="Q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Q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Q16" i="5" s="1"/>
  <c r="DH34" i="2"/>
  <c r="DI34" i="2" s="1"/>
  <c r="J29" i="5" s="1"/>
  <c r="O29" i="5" s="1"/>
  <c r="DH33" i="2"/>
  <c r="DI33" i="2" s="1"/>
  <c r="J28" i="5" s="1"/>
  <c r="O28" i="5" s="1"/>
  <c r="Q20" i="5"/>
  <c r="DH24" i="2"/>
  <c r="DI24" i="2" s="1"/>
  <c r="J19" i="5" s="1"/>
  <c r="O19" i="5" s="1"/>
  <c r="Q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Q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33" i="5" l="1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<sst xmlns="http://schemas.openxmlformats.org/spreadsheetml/2006/main" count="453" uniqueCount="134">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</sst>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3" xfId="0" applyFont="1" applyBorder="1"/>
    <xf numFmtId="0" fontId="7" fillId="0" borderId="13" xfId="0" applyFont="1" applyBorder="1"/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/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6" fillId="0" borderId="0" xfId="0" applyFont="1"/>
    <xf numFmtId="0" fontId="1" fillId="0" borderId="1" xfId="0" applyFont="1" applyBorder="1"/>
    <xf numFmtId="0" fontId="7" fillId="0" borderId="1" xfId="0" applyFont="1" applyBorder="1"/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G10" zoomScale="79" workbookViewId="0"/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50" t="s">
        <v>0</v>
      </c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Q2" s="240"/>
      <c r="CR2" s="240"/>
      <c r="CS2" s="240"/>
      <c r="CT2" s="240"/>
      <c r="CU2" s="240"/>
      <c r="CV2" s="240"/>
      <c r="CW2" s="240"/>
      <c r="CX2" s="240"/>
    </row>
    <row r="3" spans="5:102" ht="16.5">
      <c r="E3" s="251" t="s">
        <v>1</v>
      </c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0"/>
      <c r="BK3" s="240"/>
      <c r="BL3" s="240"/>
      <c r="BM3" s="240"/>
      <c r="BN3" s="240"/>
      <c r="BO3" s="240"/>
      <c r="BP3" s="240"/>
      <c r="BQ3" s="240"/>
      <c r="BR3" s="240"/>
      <c r="BS3" s="240"/>
      <c r="BT3" s="240"/>
      <c r="BU3" s="240"/>
      <c r="BV3" s="240"/>
      <c r="BW3" s="240"/>
      <c r="BX3" s="240"/>
      <c r="BY3" s="240"/>
      <c r="BZ3" s="240"/>
      <c r="CA3" s="240"/>
      <c r="CB3" s="240"/>
      <c r="CC3" s="240"/>
      <c r="CD3" s="240"/>
      <c r="CE3" s="240"/>
      <c r="CF3" s="240"/>
      <c r="CG3" s="240"/>
      <c r="CH3" s="240"/>
      <c r="CI3" s="240"/>
      <c r="CJ3" s="240"/>
      <c r="CK3" s="240"/>
      <c r="CL3" s="240"/>
      <c r="CM3" s="240"/>
      <c r="CN3" s="240"/>
      <c r="CO3" s="240"/>
      <c r="CP3" s="240"/>
      <c r="CQ3" s="240"/>
      <c r="CR3" s="240"/>
      <c r="CS3" s="240"/>
      <c r="CT3" s="240"/>
      <c r="CU3" s="240"/>
      <c r="CV3" s="240"/>
      <c r="CW3" s="240"/>
      <c r="CX3" s="240"/>
    </row>
    <row r="4" spans="5:102">
      <c r="E4" s="252" t="s">
        <v>2</v>
      </c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53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0"/>
      <c r="AV6" s="240"/>
      <c r="AW6" s="240"/>
      <c r="AX6" s="240"/>
      <c r="AY6" s="240"/>
      <c r="AZ6" s="240"/>
      <c r="BA6" s="240"/>
      <c r="BB6" s="240"/>
      <c r="BC6" s="240"/>
      <c r="BD6" s="240"/>
      <c r="BE6" s="240"/>
      <c r="BF6" s="240"/>
      <c r="BG6" s="240"/>
      <c r="BH6" s="240"/>
      <c r="BI6" s="240"/>
      <c r="BJ6" s="240"/>
      <c r="BK6" s="240"/>
      <c r="BL6" s="240"/>
      <c r="BM6" s="240"/>
      <c r="BN6" s="240"/>
      <c r="BO6" s="240"/>
      <c r="BP6" s="240"/>
      <c r="BQ6" s="240"/>
      <c r="BR6" s="240"/>
      <c r="BS6" s="240"/>
      <c r="BT6" s="240"/>
      <c r="BU6" s="240"/>
      <c r="BV6" s="240"/>
      <c r="BW6" s="240"/>
      <c r="BX6" s="240"/>
      <c r="BY6" s="240"/>
      <c r="BZ6" s="240"/>
      <c r="CA6" s="240"/>
      <c r="CB6" s="240"/>
      <c r="CC6" s="240"/>
      <c r="CD6" s="240"/>
      <c r="CE6" s="240"/>
      <c r="CF6" s="240"/>
      <c r="CG6" s="240"/>
      <c r="CH6" s="240"/>
      <c r="CI6" s="240"/>
      <c r="CJ6" s="240"/>
      <c r="CK6" s="240"/>
      <c r="CL6" s="240"/>
      <c r="CM6" s="240"/>
      <c r="CN6" s="240"/>
      <c r="CO6" s="240"/>
      <c r="CP6" s="240"/>
      <c r="CQ6" s="240"/>
      <c r="CR6" s="240"/>
      <c r="CS6" s="240"/>
      <c r="CT6" s="240"/>
      <c r="CU6" s="240"/>
      <c r="CV6" s="240"/>
      <c r="CW6" s="240"/>
      <c r="CX6" s="240"/>
    </row>
    <row r="7" spans="5:102">
      <c r="E7" s="255" t="s">
        <v>3</v>
      </c>
      <c r="F7" s="240"/>
      <c r="G7" s="4" t="s">
        <v>4</v>
      </c>
      <c r="H7" s="5"/>
      <c r="I7" s="3" t="s">
        <v>5</v>
      </c>
      <c r="J7" s="5"/>
      <c r="K7" s="256" t="s">
        <v>6</v>
      </c>
      <c r="L7" s="257"/>
      <c r="M7" s="257"/>
      <c r="N7" s="257"/>
      <c r="O7" s="257"/>
      <c r="P7" s="5"/>
      <c r="Q7" s="2"/>
      <c r="R7" s="6"/>
      <c r="S7" s="239"/>
      <c r="T7" s="240"/>
      <c r="U7" s="240"/>
      <c r="V7" s="240"/>
      <c r="W7" s="240"/>
      <c r="X7" s="5"/>
      <c r="Y7" s="5"/>
      <c r="Z7" s="5"/>
      <c r="AA7" s="2"/>
      <c r="AB7" s="6"/>
      <c r="AC7" s="239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5" t="s">
        <v>7</v>
      </c>
      <c r="F8" s="240"/>
      <c r="G8" s="7" t="s">
        <v>8</v>
      </c>
      <c r="H8" s="5"/>
      <c r="I8" s="3" t="s">
        <v>9</v>
      </c>
      <c r="J8" s="5"/>
      <c r="K8" s="256" t="s">
        <v>10</v>
      </c>
      <c r="L8" s="257"/>
      <c r="M8" s="257"/>
      <c r="N8" s="257"/>
      <c r="O8" s="257"/>
      <c r="P8" s="5"/>
      <c r="Q8" s="2"/>
      <c r="R8" s="6"/>
      <c r="S8" s="239"/>
      <c r="T8" s="240"/>
      <c r="U8" s="240"/>
      <c r="V8" s="240"/>
      <c r="W8" s="240"/>
      <c r="X8" s="5"/>
      <c r="Y8" s="5"/>
      <c r="Z8" s="5"/>
      <c r="AA8" s="2"/>
      <c r="AB8" s="6"/>
      <c r="AC8" s="239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5" t="s">
        <v>11</v>
      </c>
      <c r="F9" s="240"/>
      <c r="G9" s="7" t="s">
        <v>12</v>
      </c>
      <c r="H9" s="5"/>
      <c r="I9" s="3" t="s">
        <v>13</v>
      </c>
      <c r="J9" s="5"/>
      <c r="K9" s="256" t="s">
        <v>14</v>
      </c>
      <c r="L9" s="257"/>
      <c r="M9" s="257"/>
      <c r="N9" s="257"/>
      <c r="O9" s="257"/>
      <c r="P9" s="5"/>
      <c r="Q9" s="2"/>
      <c r="R9" s="6"/>
      <c r="S9" s="239"/>
      <c r="T9" s="240"/>
      <c r="U9" s="240"/>
      <c r="V9" s="240"/>
      <c r="W9" s="240"/>
      <c r="X9" s="5"/>
      <c r="Y9" s="5"/>
      <c r="Z9" s="5"/>
      <c r="AA9" s="2"/>
      <c r="AB9" s="6"/>
      <c r="AC9" s="239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240"/>
      <c r="BD9" s="240"/>
      <c r="BE9" s="240"/>
      <c r="BF9" s="240"/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5" t="s">
        <v>15</v>
      </c>
      <c r="F10" s="240"/>
      <c r="G10" s="7" t="s">
        <v>16</v>
      </c>
      <c r="H10" s="5"/>
      <c r="I10" s="3" t="s">
        <v>17</v>
      </c>
      <c r="J10" s="5"/>
      <c r="K10" s="264">
        <v>3</v>
      </c>
      <c r="L10" s="257"/>
      <c r="M10" s="257"/>
      <c r="N10" s="257"/>
      <c r="O10" s="257"/>
      <c r="P10" s="5"/>
      <c r="Q10" s="2"/>
      <c r="R10" s="6"/>
      <c r="S10" s="241" t="s">
        <v>18</v>
      </c>
      <c r="T10" s="240"/>
      <c r="U10" s="240"/>
      <c r="V10" s="264" t="s">
        <v>19</v>
      </c>
      <c r="W10" s="257"/>
      <c r="X10" s="257"/>
      <c r="Y10" s="257"/>
      <c r="Z10" s="257"/>
      <c r="AA10" s="2"/>
      <c r="AB10" s="6"/>
      <c r="AC10" s="239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5" t="s">
        <v>20</v>
      </c>
      <c r="F11" s="240"/>
      <c r="G11" s="7" t="s">
        <v>21</v>
      </c>
      <c r="H11" s="5"/>
      <c r="I11" s="3" t="s">
        <v>22</v>
      </c>
      <c r="J11" s="5"/>
      <c r="K11" s="256" t="s">
        <v>23</v>
      </c>
      <c r="L11" s="257"/>
      <c r="M11" s="257"/>
      <c r="N11" s="257"/>
      <c r="O11" s="257"/>
      <c r="P11" s="5"/>
      <c r="Q11" s="2"/>
      <c r="R11" s="6"/>
      <c r="S11" s="241" t="s">
        <v>24</v>
      </c>
      <c r="T11" s="240"/>
      <c r="U11" s="240"/>
      <c r="V11" s="258" t="s">
        <v>25</v>
      </c>
      <c r="W11" s="259"/>
      <c r="X11" s="259"/>
      <c r="Y11" s="259"/>
      <c r="Z11" s="259"/>
      <c r="AA11" s="2"/>
      <c r="AB11" s="241"/>
      <c r="AC11" s="240"/>
      <c r="AD11" s="24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4"/>
      <c r="BR11" s="24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61" t="s">
        <v>26</v>
      </c>
      <c r="F12" s="225"/>
      <c r="G12" s="11" t="s">
        <v>27</v>
      </c>
      <c r="H12" s="5"/>
      <c r="I12" s="10" t="s">
        <v>28</v>
      </c>
      <c r="J12" s="11"/>
      <c r="K12" s="262" t="s">
        <v>29</v>
      </c>
      <c r="L12" s="225"/>
      <c r="M12" s="225"/>
      <c r="N12" s="225"/>
      <c r="O12" s="225"/>
      <c r="P12" s="2"/>
      <c r="Q12" s="2"/>
      <c r="R12" s="2"/>
      <c r="S12" s="12" t="s">
        <v>30</v>
      </c>
      <c r="T12" s="13"/>
      <c r="U12" s="13"/>
      <c r="V12" s="14">
        <v>0.5</v>
      </c>
      <c r="X12" s="244"/>
      <c r="Y12" s="225"/>
      <c r="Z12" s="11"/>
      <c r="AA12" s="16"/>
      <c r="AB12" s="260"/>
      <c r="AC12" s="225"/>
      <c r="AD12" s="225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4"/>
      <c r="BR12" s="225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5" t="s">
        <v>31</v>
      </c>
      <c r="F13" s="245" t="s">
        <v>32</v>
      </c>
      <c r="G13" s="245" t="s">
        <v>33</v>
      </c>
      <c r="H13" s="263" t="s">
        <v>34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3"/>
      <c r="BU13" s="221" t="s">
        <v>35</v>
      </c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7" t="s">
        <v>36</v>
      </c>
      <c r="CP13" s="222"/>
      <c r="CQ13" s="222"/>
      <c r="CR13" s="222"/>
      <c r="CS13" s="222"/>
      <c r="CT13" s="222"/>
      <c r="CU13" s="222"/>
      <c r="CV13" s="222"/>
      <c r="CW13" s="222"/>
      <c r="CX13" s="223"/>
    </row>
    <row r="14" spans="5:102" ht="15" customHeight="1">
      <c r="E14" s="246"/>
      <c r="F14" s="246"/>
      <c r="G14" s="246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6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6"/>
    </row>
    <row r="15" spans="5:102">
      <c r="E15" s="246"/>
      <c r="F15" s="246"/>
      <c r="G15" s="246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46"/>
      <c r="F16" s="246"/>
      <c r="G16" s="246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7"/>
      <c r="F17" s="247"/>
      <c r="G17" s="247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80</v>
      </c>
      <c r="I18" s="50">
        <v>94</v>
      </c>
      <c r="J18" s="50">
        <v>42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80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0">
        <v>92</v>
      </c>
      <c r="CP18" s="54">
        <v>38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7:F7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K4" zoomScale="72" workbookViewId="0"/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50" t="s">
        <v>0</v>
      </c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Q2" s="240"/>
      <c r="CR2" s="240"/>
      <c r="CS2" s="240"/>
      <c r="CT2" s="240"/>
      <c r="CU2" s="240"/>
      <c r="CV2" s="240"/>
      <c r="CW2" s="240"/>
      <c r="CX2" s="240"/>
      <c r="CY2" s="240"/>
      <c r="CZ2" s="240"/>
      <c r="DA2" s="240"/>
      <c r="DB2" s="240"/>
      <c r="DC2" s="240"/>
      <c r="DD2" s="240"/>
      <c r="DE2" s="240"/>
      <c r="DF2" s="240"/>
      <c r="DG2" s="240"/>
      <c r="DH2" s="240"/>
      <c r="DI2" s="72"/>
    </row>
    <row r="3" spans="5:113" ht="16.5">
      <c r="F3" s="251" t="s">
        <v>1</v>
      </c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0"/>
      <c r="BK3" s="240"/>
      <c r="BL3" s="240"/>
      <c r="BM3" s="240"/>
      <c r="BN3" s="240"/>
      <c r="BO3" s="240"/>
      <c r="BP3" s="240"/>
      <c r="BQ3" s="240"/>
      <c r="BR3" s="240"/>
      <c r="BS3" s="240"/>
      <c r="BT3" s="240"/>
      <c r="BU3" s="240"/>
      <c r="BV3" s="240"/>
      <c r="BW3" s="240"/>
      <c r="BX3" s="240"/>
      <c r="BY3" s="240"/>
      <c r="BZ3" s="240"/>
      <c r="CA3" s="240"/>
      <c r="CB3" s="240"/>
      <c r="CC3" s="240"/>
      <c r="CD3" s="240"/>
      <c r="CE3" s="240"/>
      <c r="CF3" s="240"/>
      <c r="CG3" s="240"/>
      <c r="CH3" s="240"/>
      <c r="CI3" s="240"/>
      <c r="CJ3" s="240"/>
      <c r="CK3" s="240"/>
      <c r="CL3" s="240"/>
      <c r="CM3" s="240"/>
      <c r="CN3" s="240"/>
      <c r="CO3" s="240"/>
      <c r="CP3" s="240"/>
      <c r="CQ3" s="240"/>
      <c r="CR3" s="240"/>
      <c r="CS3" s="240"/>
      <c r="CT3" s="240"/>
      <c r="CU3" s="240"/>
      <c r="CV3" s="240"/>
      <c r="CW3" s="240"/>
      <c r="CX3" s="240"/>
      <c r="CY3" s="240"/>
      <c r="CZ3" s="240"/>
      <c r="DA3" s="240"/>
      <c r="DB3" s="240"/>
      <c r="DC3" s="240"/>
      <c r="DD3" s="240"/>
      <c r="DE3" s="240"/>
      <c r="DF3" s="240"/>
      <c r="DG3" s="240"/>
      <c r="DH3" s="240"/>
      <c r="DI3" s="73"/>
    </row>
    <row r="4" spans="5:113">
      <c r="F4" s="252" t="s">
        <v>2</v>
      </c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3" t="s">
        <v>69</v>
      </c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0"/>
      <c r="AV6" s="240"/>
      <c r="AW6" s="240"/>
      <c r="AX6" s="240"/>
      <c r="AY6" s="240"/>
      <c r="AZ6" s="240"/>
      <c r="BA6" s="240"/>
      <c r="BB6" s="240"/>
      <c r="BC6" s="240"/>
      <c r="BD6" s="240"/>
      <c r="BE6" s="240"/>
      <c r="BF6" s="240"/>
      <c r="BG6" s="240"/>
      <c r="BH6" s="240"/>
      <c r="BI6" s="240"/>
      <c r="BJ6" s="240"/>
      <c r="BK6" s="240"/>
      <c r="BL6" s="240"/>
      <c r="BM6" s="240"/>
      <c r="BN6" s="240"/>
      <c r="BO6" s="240"/>
      <c r="BP6" s="240"/>
      <c r="BQ6" s="240"/>
      <c r="BR6" s="240"/>
      <c r="BS6" s="240"/>
      <c r="BT6" s="240"/>
      <c r="BU6" s="240"/>
      <c r="BV6" s="240"/>
      <c r="BW6" s="240"/>
      <c r="BX6" s="240"/>
      <c r="BY6" s="240"/>
      <c r="BZ6" s="240"/>
      <c r="CA6" s="240"/>
      <c r="CB6" s="240"/>
      <c r="CC6" s="240"/>
      <c r="CD6" s="240"/>
      <c r="CE6" s="240"/>
      <c r="CF6" s="240"/>
      <c r="CG6" s="240"/>
      <c r="CH6" s="240"/>
      <c r="CI6" s="240"/>
      <c r="CJ6" s="240"/>
      <c r="CK6" s="240"/>
      <c r="CL6" s="240"/>
      <c r="CM6" s="240"/>
      <c r="CN6" s="240"/>
      <c r="CO6" s="240"/>
      <c r="CP6" s="240"/>
      <c r="CQ6" s="240"/>
      <c r="CR6" s="240"/>
      <c r="CS6" s="240"/>
      <c r="CT6" s="240"/>
      <c r="CU6" s="240"/>
      <c r="CV6" s="240"/>
      <c r="CW6" s="240"/>
      <c r="CX6" s="240"/>
      <c r="CY6" s="240"/>
      <c r="CZ6" s="240"/>
      <c r="DA6" s="240"/>
      <c r="DB6" s="240"/>
      <c r="DC6" s="240"/>
      <c r="DD6" s="240"/>
      <c r="DE6" s="240"/>
      <c r="DF6" s="240"/>
      <c r="DG6" s="240"/>
      <c r="DH6" s="240"/>
      <c r="DI6" s="75"/>
    </row>
    <row r="7" spans="5:113">
      <c r="E7" s="241" t="s">
        <v>3</v>
      </c>
      <c r="F7" s="240"/>
      <c r="G7" s="5" t="str">
        <f>'Midterm OVPAA-F-INS-055A RAW SC'!G7</f>
        <v>T40</v>
      </c>
      <c r="H7" s="6"/>
      <c r="I7" s="3" t="s">
        <v>5</v>
      </c>
      <c r="J7" s="5"/>
      <c r="K7" s="239" t="str">
        <f>'Midterm OVPAA-F-INS-055A RAW SC'!K7</f>
        <v>TF</v>
      </c>
      <c r="L7" s="240"/>
      <c r="M7" s="240"/>
      <c r="N7" s="240"/>
      <c r="O7" s="240"/>
      <c r="P7" s="5"/>
      <c r="Q7" s="2"/>
      <c r="R7" s="6"/>
      <c r="S7" s="239"/>
      <c r="T7" s="240"/>
      <c r="U7" s="240"/>
      <c r="V7" s="240"/>
      <c r="W7" s="24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40"/>
      <c r="BN7" s="240"/>
      <c r="BO7" s="240"/>
      <c r="BP7" s="240"/>
      <c r="BQ7" s="5"/>
      <c r="BR7" s="5"/>
      <c r="BS7" s="5"/>
      <c r="BT7" s="2"/>
      <c r="BU7" s="6"/>
      <c r="BV7" s="239"/>
      <c r="BW7" s="240"/>
      <c r="BX7" s="240"/>
      <c r="BY7" s="240"/>
      <c r="BZ7" s="240"/>
      <c r="CA7" s="240"/>
      <c r="CB7" s="240"/>
      <c r="CC7" s="240"/>
      <c r="CD7" s="240"/>
      <c r="CE7" s="240"/>
      <c r="CF7" s="240"/>
      <c r="CG7" s="240"/>
      <c r="CH7" s="240"/>
      <c r="CI7" s="240"/>
      <c r="CJ7" s="240"/>
      <c r="CK7" s="240"/>
      <c r="CL7" s="240"/>
      <c r="CM7" s="240"/>
      <c r="CN7" s="240"/>
      <c r="CO7" s="24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40"/>
      <c r="DE7" s="240"/>
      <c r="DF7" s="240"/>
      <c r="DG7" s="240"/>
      <c r="DH7" s="5"/>
      <c r="DI7" s="5"/>
    </row>
    <row r="8" spans="5:113">
      <c r="E8" s="241" t="s">
        <v>7</v>
      </c>
      <c r="F8" s="240"/>
      <c r="G8" s="5" t="str">
        <f>'Midterm OVPAA-F-INS-055A RAW SC'!G8</f>
        <v>DA 142</v>
      </c>
      <c r="H8" s="6"/>
      <c r="I8" s="3" t="s">
        <v>9</v>
      </c>
      <c r="J8" s="5"/>
      <c r="K8" s="239" t="str">
        <f>'Midterm OVPAA-F-INS-055A RAW SC'!K8</f>
        <v>7:30AM-10:00AM</v>
      </c>
      <c r="L8" s="240"/>
      <c r="M8" s="240"/>
      <c r="N8" s="240"/>
      <c r="O8" s="240"/>
      <c r="P8" s="5"/>
      <c r="Q8" s="2"/>
      <c r="R8" s="6"/>
      <c r="S8" s="239"/>
      <c r="T8" s="240"/>
      <c r="U8" s="240"/>
      <c r="V8" s="240"/>
      <c r="W8" s="24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40"/>
      <c r="BN8" s="240"/>
      <c r="BO8" s="240"/>
      <c r="BP8" s="240"/>
      <c r="BQ8" s="5"/>
      <c r="BR8" s="5"/>
      <c r="BS8" s="5"/>
      <c r="BT8" s="2"/>
      <c r="BU8" s="6"/>
      <c r="BV8" s="239"/>
      <c r="BW8" s="240"/>
      <c r="BX8" s="240"/>
      <c r="BY8" s="240"/>
      <c r="BZ8" s="240"/>
      <c r="CA8" s="240"/>
      <c r="CB8" s="240"/>
      <c r="CC8" s="240"/>
      <c r="CD8" s="240"/>
      <c r="CE8" s="240"/>
      <c r="CF8" s="240"/>
      <c r="CG8" s="240"/>
      <c r="CH8" s="240"/>
      <c r="CI8" s="240"/>
      <c r="CJ8" s="240"/>
      <c r="CK8" s="240"/>
      <c r="CL8" s="240"/>
      <c r="CM8" s="240"/>
      <c r="CN8" s="240"/>
      <c r="CO8" s="24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40"/>
      <c r="DE8" s="240"/>
      <c r="DF8" s="240"/>
      <c r="DG8" s="240"/>
      <c r="DH8" s="5"/>
      <c r="DI8" s="5"/>
    </row>
    <row r="9" spans="5:113">
      <c r="E9" s="241" t="s">
        <v>11</v>
      </c>
      <c r="F9" s="240"/>
      <c r="G9" s="5" t="str">
        <f>'Midterm OVPAA-F-INS-055A RAW SC'!G9</f>
        <v>Animation Design and Production</v>
      </c>
      <c r="H9" s="6"/>
      <c r="I9" s="3" t="s">
        <v>13</v>
      </c>
      <c r="J9" s="5"/>
      <c r="K9" s="239" t="str">
        <f>'Midterm OVPAA-F-INS-055A RAW SC'!K9</f>
        <v>Lab 7</v>
      </c>
      <c r="L9" s="240"/>
      <c r="M9" s="240"/>
      <c r="N9" s="240"/>
      <c r="O9" s="240"/>
      <c r="P9" s="5"/>
      <c r="Q9" s="2"/>
      <c r="R9" s="6"/>
      <c r="S9" s="239"/>
      <c r="T9" s="240"/>
      <c r="U9" s="240"/>
      <c r="V9" s="240"/>
      <c r="W9" s="24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40"/>
      <c r="BN9" s="240"/>
      <c r="BO9" s="240"/>
      <c r="BP9" s="240"/>
      <c r="BQ9" s="5"/>
      <c r="BR9" s="5"/>
      <c r="BS9" s="5"/>
      <c r="BT9" s="2"/>
      <c r="BU9" s="6"/>
      <c r="BV9" s="239"/>
      <c r="BW9" s="240"/>
      <c r="BX9" s="240"/>
      <c r="BY9" s="240"/>
      <c r="BZ9" s="240"/>
      <c r="CA9" s="240"/>
      <c r="CB9" s="240"/>
      <c r="CC9" s="240"/>
      <c r="CD9" s="240"/>
      <c r="CE9" s="240"/>
      <c r="CF9" s="240"/>
      <c r="CG9" s="240"/>
      <c r="CH9" s="240"/>
      <c r="CI9" s="240"/>
      <c r="CJ9" s="240"/>
      <c r="CK9" s="240"/>
      <c r="CL9" s="240"/>
      <c r="CM9" s="240"/>
      <c r="CN9" s="240"/>
      <c r="CO9" s="24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40"/>
      <c r="DE9" s="240"/>
      <c r="DF9" s="240"/>
      <c r="DG9" s="240"/>
      <c r="DH9" s="5"/>
      <c r="DI9" s="5"/>
    </row>
    <row r="10" spans="5:113">
      <c r="E10" s="241" t="s">
        <v>15</v>
      </c>
      <c r="F10" s="240"/>
      <c r="G10" s="5" t="str">
        <f>'Midterm OVPAA-F-INS-055A RAW SC'!G10</f>
        <v>1st Sem</v>
      </c>
      <c r="H10" s="6"/>
      <c r="I10" s="3" t="s">
        <v>17</v>
      </c>
      <c r="J10" s="5"/>
      <c r="K10" s="239">
        <f>'Midterm OVPAA-F-INS-055A RAW SC'!K10</f>
        <v>3</v>
      </c>
      <c r="L10" s="240"/>
      <c r="M10" s="240"/>
      <c r="N10" s="240"/>
      <c r="O10" s="240"/>
      <c r="P10" s="5"/>
      <c r="Q10" s="2"/>
      <c r="R10" s="6"/>
      <c r="S10" s="241" t="s">
        <v>18</v>
      </c>
      <c r="T10" s="240"/>
      <c r="U10" s="240"/>
      <c r="V10" s="239" t="str">
        <f>'Midterm OVPAA-F-INS-055A RAW SC'!V10</f>
        <v>Information Technology</v>
      </c>
      <c r="W10" s="240"/>
      <c r="X10" s="240"/>
      <c r="Y10" s="240"/>
      <c r="Z10" s="24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40"/>
      <c r="BN10" s="240"/>
      <c r="BO10" s="240"/>
      <c r="BP10" s="240"/>
      <c r="BQ10" s="5"/>
      <c r="BR10" s="5"/>
      <c r="BS10" s="5"/>
      <c r="BT10" s="2"/>
      <c r="BU10" s="6"/>
      <c r="BV10" s="239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240"/>
      <c r="CI10" s="240"/>
      <c r="CJ10" s="240"/>
      <c r="CK10" s="240"/>
      <c r="CL10" s="240"/>
      <c r="CM10" s="240"/>
      <c r="CN10" s="240"/>
      <c r="CO10" s="24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40"/>
      <c r="DE10" s="240"/>
      <c r="DF10" s="240"/>
      <c r="DG10" s="240"/>
      <c r="DH10" s="5"/>
      <c r="DI10" s="5"/>
    </row>
    <row r="11" spans="5:113">
      <c r="E11" s="241" t="s">
        <v>20</v>
      </c>
      <c r="F11" s="240"/>
      <c r="G11" s="6" t="str">
        <f>'Midterm OVPAA-F-INS-055A RAW SC'!G11</f>
        <v>2025-2026</v>
      </c>
      <c r="H11" s="6"/>
      <c r="I11" s="3" t="s">
        <v>70</v>
      </c>
      <c r="J11" s="5"/>
      <c r="K11" s="239" t="str">
        <f>'Midterm OVPAA-F-INS-055A RAW SC'!K11</f>
        <v>Dr. Sales G. Aribe, Jr.</v>
      </c>
      <c r="L11" s="240"/>
      <c r="M11" s="240"/>
      <c r="N11" s="240"/>
      <c r="O11" s="240"/>
      <c r="P11" s="5"/>
      <c r="Q11" s="2"/>
      <c r="R11" s="6"/>
      <c r="S11" s="241" t="s">
        <v>24</v>
      </c>
      <c r="T11" s="240"/>
      <c r="U11" s="240"/>
      <c r="V11" s="239" t="str">
        <f>'Midterm OVPAA-F-INS-055A RAW SC'!V11</f>
        <v>College of Technologies</v>
      </c>
      <c r="W11" s="240"/>
      <c r="X11" s="240"/>
      <c r="Y11" s="240"/>
      <c r="Z11" s="24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40"/>
      <c r="BN11" s="240"/>
      <c r="BO11" s="240"/>
      <c r="BP11" s="240"/>
      <c r="BQ11" s="254"/>
      <c r="BR11" s="240"/>
      <c r="BS11" s="5"/>
      <c r="BT11" s="2"/>
      <c r="BU11" s="6"/>
      <c r="BV11" s="239"/>
      <c r="BW11" s="240"/>
      <c r="BX11" s="240"/>
      <c r="BY11" s="240"/>
      <c r="BZ11" s="240"/>
      <c r="CA11" s="240"/>
      <c r="CB11" s="240"/>
      <c r="CC11" s="240"/>
      <c r="CD11" s="240"/>
      <c r="CE11" s="240"/>
      <c r="CF11" s="240"/>
      <c r="CG11" s="240"/>
      <c r="CH11" s="240"/>
      <c r="CI11" s="240"/>
      <c r="CJ11" s="240"/>
      <c r="CK11" s="240"/>
      <c r="CL11" s="240"/>
      <c r="CM11" s="240"/>
      <c r="CN11" s="240"/>
      <c r="CO11" s="240"/>
      <c r="CP11" s="254"/>
      <c r="CQ11" s="240"/>
      <c r="CR11" s="240"/>
      <c r="CS11" s="24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40"/>
      <c r="DE11" s="240"/>
      <c r="DF11" s="240"/>
      <c r="DG11" s="240"/>
      <c r="DH11" s="254"/>
      <c r="DI11" s="240"/>
    </row>
    <row r="12" spans="5:113">
      <c r="E12" s="242" t="s">
        <v>26</v>
      </c>
      <c r="F12" s="225"/>
      <c r="G12" s="11" t="str">
        <f>'Midterm OVPAA-F-INS-055A RAW SC'!G12</f>
        <v>Czarissa Louise A. Navidad</v>
      </c>
      <c r="H12" s="2"/>
      <c r="I12" s="10" t="s">
        <v>28</v>
      </c>
      <c r="J12" s="11"/>
      <c r="K12" s="243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44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3"/>
      <c r="BM12" s="225"/>
      <c r="BN12" s="225"/>
      <c r="BO12" s="225"/>
      <c r="BP12" s="225"/>
      <c r="BQ12" s="244"/>
      <c r="BR12" s="225"/>
      <c r="BS12" s="11"/>
      <c r="BT12" s="16"/>
      <c r="BU12" s="76"/>
      <c r="BV12" s="243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44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43"/>
      <c r="DD12" s="225"/>
      <c r="DE12" s="225"/>
      <c r="DF12" s="225"/>
      <c r="DG12" s="225"/>
      <c r="DH12" s="244"/>
      <c r="DI12" s="225"/>
    </row>
    <row r="13" spans="5:113" ht="15" customHeight="1">
      <c r="E13" s="245" t="s">
        <v>31</v>
      </c>
      <c r="F13" s="245" t="s">
        <v>32</v>
      </c>
      <c r="G13" s="245" t="s">
        <v>33</v>
      </c>
      <c r="H13" s="248" t="s">
        <v>34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3"/>
      <c r="BW13" s="221" t="s">
        <v>35</v>
      </c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3"/>
      <c r="CS13" s="227" t="s">
        <v>36</v>
      </c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3"/>
      <c r="DE13" s="228" t="s">
        <v>71</v>
      </c>
      <c r="DF13" s="229"/>
      <c r="DG13" s="230"/>
      <c r="DH13" s="231" t="s">
        <v>72</v>
      </c>
      <c r="DI13" s="223"/>
    </row>
    <row r="14" spans="5:113" ht="15" customHeight="1">
      <c r="E14" s="246"/>
      <c r="F14" s="246"/>
      <c r="G14" s="246"/>
      <c r="H14" s="249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6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6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6"/>
      <c r="DE14" s="77" t="s">
        <v>73</v>
      </c>
      <c r="DF14" s="78" t="s">
        <v>74</v>
      </c>
      <c r="DG14" s="79" t="s">
        <v>75</v>
      </c>
      <c r="DH14" s="224"/>
      <c r="DI14" s="226"/>
    </row>
    <row r="15" spans="5:113">
      <c r="E15" s="246"/>
      <c r="F15" s="246"/>
      <c r="G15" s="246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2" t="s">
        <v>76</v>
      </c>
      <c r="BV15" s="234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36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37" t="s">
        <v>76</v>
      </c>
      <c r="DD15" s="238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46"/>
      <c r="F16" s="246"/>
      <c r="G16" s="246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33"/>
      <c r="BV16" s="235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33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33"/>
      <c r="DD16" s="235"/>
      <c r="DE16" s="90"/>
      <c r="DF16" s="91"/>
      <c r="DG16" s="92"/>
      <c r="DH16" s="93"/>
      <c r="DI16" s="94"/>
    </row>
    <row r="17" spans="5:113">
      <c r="E17" s="247"/>
      <c r="F17" s="247"/>
      <c r="G17" s="247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f>IF('Midterm OVPAA-F-INS-055A RAW SC'!H18="","",'Midterm OVPAA-F-INS-055A RAW SC'!H18/'Midterm OVPAA-F-INS-055A RAW SC'!H$17*100)</f>
        <v>80</v>
      </c>
      <c r="I18" s="109">
        <f>IF('Midterm OVPAA-F-INS-055A RAW SC'!I18="","",'Midterm OVPAA-F-INS-055A RAW SC'!I18/'Midterm OVPAA-F-INS-055A RAW SC'!I$17*100)</f>
        <v>94</v>
      </c>
      <c r="J18" s="109">
        <f>IF('Midterm OVPAA-F-INS-055A RAW SC'!J18="","",'Midterm OVPAA-F-INS-055A RAW SC'!J18/'Midterm OVPAA-F-INS-055A RAW SC'!J$17*100)</f>
        <v>84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86</v>
      </c>
      <c r="BV18" s="111">
        <f>IF(BU18="","",VLOOKUP(BU18,IF('Midterm OVPAA-F-INS-055A RAW SC'!$V$12=0.5,TRANSMUTATION!$C$4:$D$17,TRANSMUTATION!$G$4:$H$17),2,TRUE))</f>
        <v>1.5</v>
      </c>
      <c r="BW18" s="112">
        <f>IF('Midterm OVPAA-F-INS-055A RAW SC'!BU18="","",'Midterm OVPAA-F-INS-055A RAW SC'!BU18/'Midterm OVPAA-F-INS-055A RAW SC'!BU$17*100)</f>
        <v>80</v>
      </c>
      <c r="BX18" s="113">
        <f>IF('Midterm OVPAA-F-INS-055A RAW SC'!BV18="","",'Midterm OVPAA-F-INS-055A RAW SC'!BV18/'Midterm OVPAA-F-INS-055A RAW SC'!BV$17*100)</f>
        <v>100</v>
      </c>
      <c r="BY18" s="113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str">
        <f>IF('Midterm OVPAA-F-INS-055A RAW SC'!CN18="","",'Midterm OVPAA-F-INS-055A RAW SC'!CN18/'Midterm OVPAA-F-INS-055A RAW SC'!CN$17*100)</f>
        <v/>
      </c>
      <c r="CQ18" s="115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93.333333333333329</v>
      </c>
      <c r="CR18" s="116">
        <f>IF(CQ18="","",VLOOKUP(CQ18,IF('Midterm OVPAA-F-INS-055A RAW SC'!$V$12=0.5,TRANSMUTATION!$C$4:$D$17,TRANSMUTATION!$G$4:$H$17),2,TRUE))</f>
        <v>1.25</v>
      </c>
      <c r="CS18" s="117">
        <f>IF('Midterm OVPAA-F-INS-055A RAW SC'!CO18="","",'Midterm OVPAA-F-INS-055A RAW SC'!CO18/'Midterm OVPAA-F-INS-055A RAW SC'!CO$17*100)</f>
        <v>92</v>
      </c>
      <c r="CT18" s="117">
        <f>IF('Midterm OVPAA-F-INS-055A RAW SC'!CP18="","",'Midterm OVPAA-F-INS-055A RAW SC'!CP18/'Midterm OVPAA-F-INS-055A RAW SC'!CP$17*100)</f>
        <v>76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84</v>
      </c>
      <c r="DD18" s="119">
        <f>IF(DC18="","",VLOOKUP(DC18,IF('Midterm OVPAA-F-INS-055A RAW SC'!$V$12=0.5,TRANSMUTATION!$C$4:$D$17,TRANSMUTATION!$G$4:$H$17),2,TRUE))</f>
        <v>1.75</v>
      </c>
      <c r="DE18" s="120">
        <f t="shared" ref="DE18:DE117" si="1">IF(BV18="","",(BV18*DE$15))</f>
        <v>0.44999999999999996</v>
      </c>
      <c r="DF18" s="121">
        <f t="shared" ref="DF18:DF117" si="2">IF(CR18="","",(CR18*DF$15))</f>
        <v>0.375</v>
      </c>
      <c r="DG18" s="122">
        <f t="shared" ref="DG18:DG117" si="3">IF(DD18="","",(DD18*DG$15))</f>
        <v>0.70000000000000007</v>
      </c>
      <c r="DH18" s="120">
        <f t="shared" ref="DH18:DH117" si="4">IF($DF$15="",IF(OR(DE18="",DG18="")=TRUE,"",(SUM(DE18:DG18))),IF(OR(DE18="",DF18="",DG18="")=TRUE,"",(SUM(DE18:DG18))))</f>
        <v>1.5249999999999999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1.50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IF('Midterm OVPAA-F-INS-055A RAW SC'!H19="","",'Midterm OVPAA-F-INS-055A RAW SC'!H19/'Midterm OVPAA-F-INS-055A RAW SC'!H$17*100)</f>
        <v>70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82.666666666666671</v>
      </c>
      <c r="BV19" s="128">
        <f>IF(BU19="","",VLOOKUP(BU19,IF('Midterm OVPAA-F-INS-055A RAW SC'!$V$12=0.5,TRANSMUTATION!$C$4:$D$17,TRANSMUTATION!$G$4:$H$17),2,TRUE))</f>
        <v>1.75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0.52500000000000002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1.675</v>
      </c>
      <c r="DI19" s="123" t="str">
        <f t="shared" si="5"/>
        <v>1.75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IF('Midterm OVPAA-F-INS-055A RAW SC'!H20="","",'Midterm OVPAA-F-INS-055A RAW SC'!H20/'Midterm OVPAA-F-INS-055A RAW SC'!H$17*100)</f>
        <v>94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91.666666666666671</v>
      </c>
      <c r="BV20" s="128">
        <f>IF(BU20="","",VLOOKUP(BU20,IF('Midterm OVPAA-F-INS-055A RAW SC'!$V$12=0.5,TRANSMUTATION!$C$4:$D$17,TRANSMUTATION!$G$4:$H$17),2,TRUE))</f>
        <v>1.25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0.375</v>
      </c>
      <c r="DF20" s="137">
        <f t="shared" si="2"/>
        <v>0.3</v>
      </c>
      <c r="DG20" s="138">
        <f t="shared" si="3"/>
        <v>0.5</v>
      </c>
      <c r="DH20" s="136">
        <f t="shared" si="4"/>
        <v>1.175</v>
      </c>
      <c r="DI20" s="123" t="str">
        <f t="shared" si="5"/>
        <v>1.25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IF('Midterm OVPAA-F-INS-055A RAW SC'!H21="","",'Midterm OVPAA-F-INS-055A RAW SC'!H21/'Midterm OVPAA-F-INS-055A RAW SC'!H$17*100)</f>
        <v>72</v>
      </c>
      <c r="I21" s="126">
        <f>IF('Midterm OVPAA-F-INS-055A RAW SC'!I21="","",'Midterm OVPAA-F-INS-055A RAW SC'!I21/'Midterm OVPAA-F-INS-055A RAW SC'!I$17*100)</f>
        <v>60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44</v>
      </c>
      <c r="BV21" s="128">
        <f>IF(BU21="","",VLOOKUP(BU21,IF('Midterm OVPAA-F-INS-055A RAW SC'!$V$12=0.5,TRANSMUTATION!$C$4:$D$17,TRANSMUTATION!$G$4:$H$17),2,TRUE))</f>
        <v>3.25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0.97499999999999998</v>
      </c>
      <c r="DF21" s="137">
        <f t="shared" si="2"/>
        <v>0.52500000000000002</v>
      </c>
      <c r="DG21" s="138">
        <f t="shared" si="3"/>
        <v>0.9</v>
      </c>
      <c r="DH21" s="136">
        <f t="shared" si="4"/>
        <v>2.4</v>
      </c>
      <c r="DI21" s="123" t="str">
        <f t="shared" si="5"/>
        <v>2.50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f>IF('Midterm OVPAA-F-INS-055A RAW SC'!I23="","",'Midterm OVPAA-F-INS-055A RAW SC'!I23/'Midterm OVPAA-F-INS-055A RAW SC'!I$17*100)</f>
        <v>94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28">
        <f>IF(BU23="","",VLOOKUP(BU23,IF('Midterm OVPAA-F-INS-055A RAW SC'!$V$12=0.5,TRANSMUTATION!$C$4:$D$17,TRANSMUTATION!$G$4:$H$17),2,TRUE))</f>
        <v>1.5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0.44999999999999996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1.425</v>
      </c>
      <c r="DI23" s="123" t="str">
        <f t="shared" si="5"/>
        <v>1.50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f>IF('Midterm OVPAA-F-INS-055A RAW SC'!I24="","",'Midterm OVPAA-F-INS-055A RAW SC'!I24/'Midterm OVPAA-F-INS-055A RAW SC'!I$17*100)</f>
        <v>60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77.333333333333329</v>
      </c>
      <c r="BV24" s="128">
        <f>IF(BU24="","",VLOOKUP(BU24,IF('Midterm OVPAA-F-INS-055A RAW SC'!$V$12=0.5,TRANSMUTATION!$C$4:$D$17,TRANSMUTATION!$G$4:$H$17),2,TRUE))</f>
        <v>2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2.0249999999999999</v>
      </c>
      <c r="DI24" s="123" t="str">
        <f t="shared" si="5"/>
        <v>2.00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IF('Midterm OVPAA-F-INS-055A RAW SC'!H25="","",'Midterm OVPAA-F-INS-055A RAW SC'!H25/'Midterm OVPAA-F-INS-055A RAW SC'!H$17*100)</f>
        <v>80</v>
      </c>
      <c r="I25" s="126">
        <f>IF('Midterm OVPAA-F-INS-055A RAW SC'!I25="","",'Midterm OVPAA-F-INS-055A RAW SC'!I25/'Midterm OVPAA-F-INS-055A RAW SC'!I$17*100)</f>
        <v>94</v>
      </c>
      <c r="J25" s="126">
        <f>IF('Midterm OVPAA-F-INS-055A RAW SC'!J25="","",'Midterm OVPAA-F-INS-055A RAW SC'!J25/'Midterm OVPAA-F-INS-055A RAW SC'!J$17*100)</f>
        <v>84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28">
        <f>IF(BU25="","",VLOOKUP(BU25,IF('Midterm OVPAA-F-INS-055A RAW SC'!$V$12=0.5,TRANSMUTATION!$C$4:$D$17,TRANSMUTATION!$G$4:$H$17),2,TRUE))</f>
        <v>1.5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0.44999999999999996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1.425</v>
      </c>
      <c r="DI25" s="123" t="str">
        <f t="shared" si="5"/>
        <v>1.50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IF('Midterm OVPAA-F-INS-055A RAW SC'!H29="","",'Midterm OVPAA-F-INS-055A RAW SC'!H29/'Midterm OVPAA-F-INS-055A RAW SC'!H$17*100)</f>
        <v>72</v>
      </c>
      <c r="I29" s="126">
        <f>IF('Midterm OVPAA-F-INS-055A RAW SC'!I29="","",'Midterm OVPAA-F-INS-055A RAW SC'!I29/'Midterm OVPAA-F-INS-055A RAW SC'!I$17*100)</f>
        <v>60</v>
      </c>
      <c r="J29" s="126">
        <f>IF('Midterm OVPAA-F-INS-055A RAW SC'!J29="","",'Midterm OVPAA-F-INS-055A RAW SC'!J29/'Midterm OVPAA-F-INS-055A RAW SC'!J$17*100)</f>
        <v>100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77.333333333333329</v>
      </c>
      <c r="BV29" s="128">
        <f>IF(BU29="","",VLOOKUP(BU29,IF('Midterm OVPAA-F-INS-055A RAW SC'!$V$12=0.5,TRANSMUTATION!$C$4:$D$17,TRANSMUTATION!$G$4:$H$17),2,TRUE))</f>
        <v>2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</v>
      </c>
      <c r="DF29" s="137">
        <f t="shared" si="2"/>
        <v>0.52500000000000002</v>
      </c>
      <c r="DG29" s="138">
        <f t="shared" si="3"/>
        <v>0.8</v>
      </c>
      <c r="DH29" s="136">
        <f t="shared" si="4"/>
        <v>1.925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f>IF('Midterm OVPAA-F-INS-055A RAW SC'!I32="","",'Midterm OVPAA-F-INS-055A RAW SC'!I32/'Midterm OVPAA-F-INS-055A RAW SC'!I$17*100)</f>
        <v>93</v>
      </c>
      <c r="J32" s="126">
        <f>IF('Midterm OVPAA-F-INS-055A RAW SC'!J32="","",'Midterm OVPAA-F-INS-055A RAW SC'!J32/'Midterm OVPAA-F-INS-055A RAW SC'!J$17*100)</f>
        <v>88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91.666666666666671</v>
      </c>
      <c r="BV32" s="128">
        <f>IF(BU32="","",VLOOKUP(BU32,IF('Midterm OVPAA-F-INS-055A RAW SC'!$V$12=0.5,TRANSMUTATION!$C$4:$D$17,TRANSMUTATION!$G$4:$H$17),2,TRUE))</f>
        <v>1.25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0.375</v>
      </c>
      <c r="DF32" s="137">
        <f t="shared" si="2"/>
        <v>0.3</v>
      </c>
      <c r="DG32" s="138">
        <f t="shared" si="3"/>
        <v>0.60000000000000009</v>
      </c>
      <c r="DH32" s="136">
        <f t="shared" si="4"/>
        <v>1.2750000000000001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f>IF('Midterm OVPAA-F-INS-055A RAW SC'!I33="","",'Midterm OVPAA-F-INS-055A RAW SC'!I33/'Midterm OVPAA-F-INS-055A RAW SC'!I$17*100)</f>
        <v>60</v>
      </c>
      <c r="J33" s="126">
        <f>IF('Midterm OVPAA-F-INS-055A RAW SC'!J33="","",'Midterm OVPAA-F-INS-055A RAW SC'!J33/'Midterm OVPAA-F-INS-055A RAW SC'!J$17*100)</f>
        <v>100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77.333333333333329</v>
      </c>
      <c r="BV33" s="128">
        <f>IF(BU33="","",VLOOKUP(BU33,IF('Midterm OVPAA-F-INS-055A RAW SC'!$V$12=0.5,TRANSMUTATION!$C$4:$D$17,TRANSMUTATION!$G$4:$H$17),2,TRUE))</f>
        <v>2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0.6</v>
      </c>
      <c r="DF33" s="137">
        <f t="shared" si="2"/>
        <v>0.52500000000000002</v>
      </c>
      <c r="DG33" s="138">
        <f t="shared" si="3"/>
        <v>0.8</v>
      </c>
      <c r="DH33" s="136">
        <f t="shared" si="4"/>
        <v>1.925</v>
      </c>
      <c r="DI33" s="123" t="str">
        <f t="shared" si="5"/>
        <v>2.00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H11:DI11"/>
    <mergeCell ref="BL12:BP12"/>
    <mergeCell ref="BQ12:BR12"/>
    <mergeCell ref="BV12:CO12"/>
    <mergeCell ref="CP12:CS12"/>
    <mergeCell ref="BQ11:BR11"/>
    <mergeCell ref="BV11:CO11"/>
    <mergeCell ref="DC12:DG12"/>
    <mergeCell ref="DH12:DI12"/>
    <mergeCell ref="DC8:DG8"/>
    <mergeCell ref="E11:F11"/>
    <mergeCell ref="K11:O11"/>
    <mergeCell ref="S11:U11"/>
    <mergeCell ref="V11:Z11"/>
    <mergeCell ref="BL11:BP11"/>
    <mergeCell ref="CP11:CS11"/>
    <mergeCell ref="DC11:DG11"/>
    <mergeCell ref="K9:O9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12:F12"/>
    <mergeCell ref="K12:O12"/>
    <mergeCell ref="X12:Y12"/>
    <mergeCell ref="E13:E17"/>
    <mergeCell ref="F13:F17"/>
    <mergeCell ref="G13:G17"/>
    <mergeCell ref="H13:BV14"/>
    <mergeCell ref="BL10:BP10"/>
    <mergeCell ref="BV10:CO10"/>
    <mergeCell ref="DC10:DG10"/>
    <mergeCell ref="E7:F7"/>
    <mergeCell ref="E8:F8"/>
    <mergeCell ref="K8:O8"/>
    <mergeCell ref="S8:W8"/>
    <mergeCell ref="E9:F9"/>
    <mergeCell ref="S9:W9"/>
    <mergeCell ref="E10:F10"/>
    <mergeCell ref="K10:O10"/>
    <mergeCell ref="S10:U10"/>
    <mergeCell ref="V10:Z10"/>
    <mergeCell ref="BL9:BP9"/>
    <mergeCell ref="BV9:CO9"/>
    <mergeCell ref="DC9:DG9"/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/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50" t="s">
        <v>0</v>
      </c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Q2" s="240"/>
      <c r="CR2" s="240"/>
      <c r="CS2" s="240"/>
      <c r="CT2" s="240"/>
      <c r="CU2" s="240"/>
      <c r="CV2" s="240"/>
      <c r="CW2" s="240"/>
      <c r="CX2" s="240"/>
    </row>
    <row r="3" spans="5:102" ht="16.5">
      <c r="F3" s="251" t="s">
        <v>1</v>
      </c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0"/>
      <c r="BK3" s="240"/>
      <c r="BL3" s="240"/>
      <c r="BM3" s="240"/>
      <c r="BN3" s="240"/>
      <c r="BO3" s="240"/>
      <c r="BP3" s="240"/>
      <c r="BQ3" s="240"/>
      <c r="BR3" s="240"/>
      <c r="BS3" s="240"/>
      <c r="BT3" s="240"/>
      <c r="BU3" s="240"/>
      <c r="BV3" s="240"/>
      <c r="BW3" s="240"/>
      <c r="BX3" s="240"/>
      <c r="BY3" s="240"/>
      <c r="BZ3" s="240"/>
      <c r="CA3" s="240"/>
      <c r="CB3" s="240"/>
      <c r="CC3" s="240"/>
      <c r="CD3" s="240"/>
      <c r="CE3" s="240"/>
      <c r="CF3" s="240"/>
      <c r="CG3" s="240"/>
      <c r="CH3" s="240"/>
      <c r="CI3" s="240"/>
      <c r="CJ3" s="240"/>
      <c r="CK3" s="240"/>
      <c r="CL3" s="240"/>
      <c r="CM3" s="240"/>
      <c r="CN3" s="240"/>
      <c r="CO3" s="240"/>
      <c r="CP3" s="240"/>
      <c r="CQ3" s="240"/>
      <c r="CR3" s="240"/>
      <c r="CS3" s="240"/>
      <c r="CT3" s="240"/>
      <c r="CU3" s="240"/>
      <c r="CV3" s="240"/>
      <c r="CW3" s="240"/>
      <c r="CX3" s="240"/>
    </row>
    <row r="4" spans="5:102">
      <c r="F4" s="252" t="s">
        <v>2</v>
      </c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53" t="s">
        <v>69</v>
      </c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0"/>
      <c r="AV6" s="240"/>
      <c r="AW6" s="240"/>
      <c r="AX6" s="240"/>
      <c r="AY6" s="240"/>
      <c r="AZ6" s="240"/>
      <c r="BA6" s="240"/>
      <c r="BB6" s="240"/>
      <c r="BC6" s="240"/>
      <c r="BD6" s="240"/>
      <c r="BE6" s="240"/>
      <c r="BF6" s="240"/>
      <c r="BG6" s="240"/>
      <c r="BH6" s="240"/>
      <c r="BI6" s="240"/>
      <c r="BJ6" s="240"/>
      <c r="BK6" s="240"/>
      <c r="BL6" s="240"/>
      <c r="BM6" s="240"/>
      <c r="BN6" s="240"/>
      <c r="BO6" s="240"/>
      <c r="BP6" s="240"/>
      <c r="BQ6" s="240"/>
      <c r="BR6" s="240"/>
      <c r="BS6" s="240"/>
      <c r="BT6" s="240"/>
      <c r="BU6" s="240"/>
      <c r="BV6" s="240"/>
      <c r="BW6" s="240"/>
      <c r="BX6" s="240"/>
      <c r="BY6" s="240"/>
      <c r="BZ6" s="240"/>
      <c r="CA6" s="240"/>
      <c r="CB6" s="240"/>
      <c r="CC6" s="240"/>
      <c r="CD6" s="240"/>
      <c r="CE6" s="240"/>
      <c r="CF6" s="240"/>
      <c r="CG6" s="240"/>
      <c r="CH6" s="240"/>
      <c r="CI6" s="240"/>
      <c r="CJ6" s="240"/>
      <c r="CK6" s="240"/>
      <c r="CL6" s="240"/>
      <c r="CM6" s="240"/>
      <c r="CN6" s="240"/>
      <c r="CO6" s="240"/>
      <c r="CP6" s="240"/>
      <c r="CQ6" s="240"/>
      <c r="CR6" s="240"/>
      <c r="CS6" s="240"/>
      <c r="CT6" s="240"/>
      <c r="CU6" s="240"/>
      <c r="CV6" s="240"/>
      <c r="CW6" s="240"/>
      <c r="CX6" s="240"/>
    </row>
    <row r="7" spans="5:102">
      <c r="E7" s="241" t="s">
        <v>3</v>
      </c>
      <c r="F7" s="240"/>
      <c r="G7" s="5" t="str">
        <f>'Midterm OVPAA-F-INS-055A RAW SC'!G7</f>
        <v>T40</v>
      </c>
      <c r="H7" s="6"/>
      <c r="I7" s="3" t="s">
        <v>5</v>
      </c>
      <c r="J7" s="5"/>
      <c r="K7" s="239" t="str">
        <f>'Midterm OVPAA-F-INS-055A RAW SC'!K7</f>
        <v>TF</v>
      </c>
      <c r="L7" s="240"/>
      <c r="M7" s="240"/>
      <c r="N7" s="240"/>
      <c r="O7" s="240"/>
      <c r="P7" s="5"/>
      <c r="Q7" s="2"/>
      <c r="R7" s="6"/>
      <c r="S7" s="239"/>
      <c r="T7" s="240"/>
      <c r="U7" s="240"/>
      <c r="V7" s="240"/>
      <c r="W7" s="24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40"/>
      <c r="BN7" s="240"/>
      <c r="BO7" s="240"/>
      <c r="BP7" s="240"/>
      <c r="BQ7" s="5"/>
      <c r="BR7" s="5"/>
      <c r="BS7" s="5"/>
      <c r="BT7" s="2"/>
      <c r="BU7" s="6"/>
      <c r="BV7" s="239"/>
      <c r="BW7" s="240"/>
      <c r="BX7" s="240"/>
      <c r="BY7" s="240"/>
      <c r="BZ7" s="240"/>
      <c r="CA7" s="240"/>
      <c r="CB7" s="240"/>
      <c r="CC7" s="240"/>
      <c r="CD7" s="240"/>
      <c r="CE7" s="240"/>
      <c r="CF7" s="240"/>
      <c r="CG7" s="240"/>
      <c r="CH7" s="240"/>
      <c r="CI7" s="240"/>
      <c r="CJ7" s="240"/>
      <c r="CK7" s="240"/>
      <c r="CL7" s="240"/>
      <c r="CM7" s="240"/>
      <c r="CN7" s="240"/>
      <c r="CO7" s="240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41" t="s">
        <v>7</v>
      </c>
      <c r="F8" s="240"/>
      <c r="G8" s="5" t="str">
        <f>'Midterm OVPAA-F-INS-055A RAW SC'!G8</f>
        <v>DA 142</v>
      </c>
      <c r="H8" s="6"/>
      <c r="I8" s="3" t="s">
        <v>9</v>
      </c>
      <c r="J8" s="5"/>
      <c r="K8" s="239" t="str">
        <f>'Midterm OVPAA-F-INS-055A RAW SC'!K8</f>
        <v>7:30AM-10:00AM</v>
      </c>
      <c r="L8" s="240"/>
      <c r="M8" s="240"/>
      <c r="N8" s="240"/>
      <c r="O8" s="240"/>
      <c r="P8" s="5"/>
      <c r="Q8" s="2"/>
      <c r="R8" s="6"/>
      <c r="S8" s="239"/>
      <c r="T8" s="240"/>
      <c r="U8" s="240"/>
      <c r="V8" s="240"/>
      <c r="W8" s="24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40"/>
      <c r="BN8" s="240"/>
      <c r="BO8" s="240"/>
      <c r="BP8" s="240"/>
      <c r="BQ8" s="5"/>
      <c r="BR8" s="5"/>
      <c r="BS8" s="5"/>
      <c r="BT8" s="2"/>
      <c r="BU8" s="6"/>
      <c r="BV8" s="239"/>
      <c r="BW8" s="240"/>
      <c r="BX8" s="240"/>
      <c r="BY8" s="240"/>
      <c r="BZ8" s="240"/>
      <c r="CA8" s="240"/>
      <c r="CB8" s="240"/>
      <c r="CC8" s="240"/>
      <c r="CD8" s="240"/>
      <c r="CE8" s="240"/>
      <c r="CF8" s="240"/>
      <c r="CG8" s="240"/>
      <c r="CH8" s="240"/>
      <c r="CI8" s="240"/>
      <c r="CJ8" s="240"/>
      <c r="CK8" s="240"/>
      <c r="CL8" s="240"/>
      <c r="CM8" s="240"/>
      <c r="CN8" s="240"/>
      <c r="CO8" s="240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41" t="s">
        <v>11</v>
      </c>
      <c r="F9" s="240"/>
      <c r="G9" s="5" t="str">
        <f>'Midterm OVPAA-F-INS-055A RAW SC'!G9</f>
        <v>Animation Design and Production</v>
      </c>
      <c r="H9" s="6"/>
      <c r="I9" s="3" t="s">
        <v>13</v>
      </c>
      <c r="J9" s="5"/>
      <c r="K9" s="239" t="str">
        <f>'Midterm OVPAA-F-INS-055A RAW SC'!K9</f>
        <v>Lab 7</v>
      </c>
      <c r="L9" s="240"/>
      <c r="M9" s="240"/>
      <c r="N9" s="240"/>
      <c r="O9" s="240"/>
      <c r="P9" s="5"/>
      <c r="Q9" s="2"/>
      <c r="R9" s="6"/>
      <c r="S9" s="239"/>
      <c r="T9" s="240"/>
      <c r="U9" s="240"/>
      <c r="V9" s="240"/>
      <c r="W9" s="24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40"/>
      <c r="BN9" s="240"/>
      <c r="BO9" s="240"/>
      <c r="BP9" s="240"/>
      <c r="BQ9" s="5"/>
      <c r="BR9" s="5"/>
      <c r="BS9" s="5"/>
      <c r="BT9" s="2"/>
      <c r="BU9" s="6"/>
      <c r="BV9" s="239"/>
      <c r="BW9" s="240"/>
      <c r="BX9" s="240"/>
      <c r="BY9" s="240"/>
      <c r="BZ9" s="240"/>
      <c r="CA9" s="240"/>
      <c r="CB9" s="240"/>
      <c r="CC9" s="240"/>
      <c r="CD9" s="240"/>
      <c r="CE9" s="240"/>
      <c r="CF9" s="240"/>
      <c r="CG9" s="240"/>
      <c r="CH9" s="240"/>
      <c r="CI9" s="240"/>
      <c r="CJ9" s="240"/>
      <c r="CK9" s="240"/>
      <c r="CL9" s="240"/>
      <c r="CM9" s="240"/>
      <c r="CN9" s="240"/>
      <c r="CO9" s="240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41" t="s">
        <v>15</v>
      </c>
      <c r="F10" s="240"/>
      <c r="G10" s="5" t="str">
        <f>'Midterm OVPAA-F-INS-055A RAW SC'!G10</f>
        <v>1st Sem</v>
      </c>
      <c r="H10" s="6"/>
      <c r="I10" s="3" t="s">
        <v>17</v>
      </c>
      <c r="J10" s="5"/>
      <c r="K10" s="239">
        <f>'Midterm OVPAA-F-INS-055A RAW SC'!K10</f>
        <v>3</v>
      </c>
      <c r="L10" s="240"/>
      <c r="M10" s="240"/>
      <c r="N10" s="240"/>
      <c r="O10" s="240"/>
      <c r="P10" s="5"/>
      <c r="Q10" s="2"/>
      <c r="R10" s="6"/>
      <c r="S10" s="241" t="s">
        <v>18</v>
      </c>
      <c r="T10" s="240"/>
      <c r="U10" s="240"/>
      <c r="V10" s="239" t="str">
        <f>'Midterm OVPAA-F-INS-055A RAW SC'!V10</f>
        <v>Information Technology</v>
      </c>
      <c r="W10" s="240"/>
      <c r="X10" s="240"/>
      <c r="Y10" s="240"/>
      <c r="Z10" s="24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40"/>
      <c r="BN10" s="240"/>
      <c r="BO10" s="240"/>
      <c r="BP10" s="240"/>
      <c r="BQ10" s="5"/>
      <c r="BR10" s="5"/>
      <c r="BS10" s="5"/>
      <c r="BT10" s="2"/>
      <c r="BU10" s="6"/>
      <c r="BV10" s="239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240"/>
      <c r="CI10" s="240"/>
      <c r="CJ10" s="240"/>
      <c r="CK10" s="240"/>
      <c r="CL10" s="240"/>
      <c r="CM10" s="240"/>
      <c r="CN10" s="240"/>
      <c r="CO10" s="240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41" t="s">
        <v>20</v>
      </c>
      <c r="F11" s="240"/>
      <c r="G11" s="6" t="str">
        <f>'Midterm OVPAA-F-INS-055A RAW SC'!G11</f>
        <v>2025-2026</v>
      </c>
      <c r="H11" s="6"/>
      <c r="I11" s="3" t="s">
        <v>70</v>
      </c>
      <c r="J11" s="5"/>
      <c r="K11" s="239" t="str">
        <f>'Midterm OVPAA-F-INS-055A RAW SC'!K11</f>
        <v>Dr. Sales G. Aribe, Jr.</v>
      </c>
      <c r="L11" s="240"/>
      <c r="M11" s="240"/>
      <c r="N11" s="240"/>
      <c r="O11" s="240"/>
      <c r="P11" s="5"/>
      <c r="Q11" s="2"/>
      <c r="R11" s="6"/>
      <c r="S11" s="241" t="s">
        <v>24</v>
      </c>
      <c r="T11" s="240"/>
      <c r="U11" s="240"/>
      <c r="V11" s="239" t="str">
        <f>'Midterm OVPAA-F-INS-055A RAW SC'!V11</f>
        <v>College of Technologies</v>
      </c>
      <c r="W11" s="240"/>
      <c r="X11" s="240"/>
      <c r="Y11" s="240"/>
      <c r="Z11" s="24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40"/>
      <c r="BN11" s="240"/>
      <c r="BO11" s="240"/>
      <c r="BP11" s="240"/>
      <c r="BQ11" s="254"/>
      <c r="BR11" s="240"/>
      <c r="BS11" s="5"/>
      <c r="BT11" s="2"/>
      <c r="BU11" s="6"/>
      <c r="BV11" s="239"/>
      <c r="BW11" s="240"/>
      <c r="BX11" s="240"/>
      <c r="BY11" s="240"/>
      <c r="BZ11" s="240"/>
      <c r="CA11" s="240"/>
      <c r="CB11" s="240"/>
      <c r="CC11" s="240"/>
      <c r="CD11" s="240"/>
      <c r="CE11" s="240"/>
      <c r="CF11" s="240"/>
      <c r="CG11" s="240"/>
      <c r="CH11" s="240"/>
      <c r="CI11" s="240"/>
      <c r="CJ11" s="240"/>
      <c r="CK11" s="240"/>
      <c r="CL11" s="240"/>
      <c r="CM11" s="240"/>
      <c r="CN11" s="240"/>
      <c r="CO11" s="240"/>
      <c r="CP11" s="254"/>
      <c r="CQ11" s="240"/>
      <c r="CR11" s="240"/>
      <c r="CS11" s="240"/>
      <c r="CT11" s="9"/>
      <c r="CU11" s="9"/>
      <c r="CV11" s="9"/>
      <c r="CW11" s="9"/>
      <c r="CX11" s="5"/>
    </row>
    <row r="12" spans="5:102">
      <c r="E12" s="242" t="s">
        <v>26</v>
      </c>
      <c r="F12" s="225"/>
      <c r="G12" s="11" t="str">
        <f>'Midterm OVPAA-F-INS-055A RAW SC'!G12</f>
        <v>Czarissa Louise A. Navidad</v>
      </c>
      <c r="H12" s="2"/>
      <c r="I12" s="10" t="s">
        <v>28</v>
      </c>
      <c r="J12" s="11"/>
      <c r="K12" s="243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44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3"/>
      <c r="BM12" s="225"/>
      <c r="BN12" s="225"/>
      <c r="BO12" s="225"/>
      <c r="BP12" s="225"/>
      <c r="BQ12" s="244"/>
      <c r="BR12" s="225"/>
      <c r="BS12" s="11"/>
      <c r="BT12" s="16"/>
      <c r="BU12" s="76"/>
      <c r="BV12" s="243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44"/>
      <c r="CQ12" s="225"/>
      <c r="CR12" s="225"/>
      <c r="CS12" s="225"/>
      <c r="CT12" s="15"/>
      <c r="CU12" s="15"/>
      <c r="CV12" s="15"/>
      <c r="CW12" s="15"/>
      <c r="CX12" s="11"/>
    </row>
    <row r="13" spans="5:102" ht="15" customHeight="1">
      <c r="E13" s="245" t="s">
        <v>31</v>
      </c>
      <c r="F13" s="245" t="s">
        <v>32</v>
      </c>
      <c r="G13" s="245" t="s">
        <v>33</v>
      </c>
      <c r="H13" s="263" t="s">
        <v>34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3"/>
      <c r="BU13" s="221" t="s">
        <v>35</v>
      </c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7" t="s">
        <v>36</v>
      </c>
      <c r="CP13" s="222"/>
      <c r="CQ13" s="222"/>
      <c r="CR13" s="222"/>
      <c r="CS13" s="222"/>
      <c r="CT13" s="222"/>
      <c r="CU13" s="222"/>
      <c r="CV13" s="222"/>
      <c r="CW13" s="222"/>
      <c r="CX13" s="223"/>
    </row>
    <row r="14" spans="5:102" ht="15" customHeight="1">
      <c r="E14" s="246"/>
      <c r="F14" s="246"/>
      <c r="G14" s="246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6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6"/>
    </row>
    <row r="15" spans="5:102">
      <c r="E15" s="246"/>
      <c r="F15" s="246"/>
      <c r="G15" s="246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46"/>
      <c r="F16" s="246"/>
      <c r="G16" s="246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7"/>
      <c r="F17" s="247"/>
      <c r="G17" s="247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5</v>
      </c>
      <c r="I18" s="50">
        <v>5</v>
      </c>
      <c r="J18" s="50">
        <v>3</v>
      </c>
      <c r="K18" s="50">
        <v>5</v>
      </c>
      <c r="L18" s="50">
        <v>5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95</v>
      </c>
      <c r="BV18" s="50">
        <v>0</v>
      </c>
      <c r="BW18" s="50">
        <v>10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2">
        <v>100</v>
      </c>
      <c r="CP18" s="50">
        <v>91.25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100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5</v>
      </c>
      <c r="I20" s="50">
        <v>5</v>
      </c>
      <c r="J20" s="50">
        <v>3</v>
      </c>
      <c r="K20" s="50">
        <v>5</v>
      </c>
      <c r="L20" s="50">
        <v>5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87</v>
      </c>
      <c r="BV20" s="50">
        <v>70</v>
      </c>
      <c r="BW20" s="50">
        <v>10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80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5</v>
      </c>
      <c r="J21" s="50">
        <v>3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84</v>
      </c>
      <c r="BV21" s="50">
        <v>92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5</v>
      </c>
      <c r="K22" s="50">
        <v>5</v>
      </c>
      <c r="L22" s="50">
        <v>5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92</v>
      </c>
      <c r="BV22" s="60">
        <v>100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5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95</v>
      </c>
      <c r="BV23" s="50">
        <v>0</v>
      </c>
      <c r="BW23" s="50">
        <v>10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5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10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5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10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5</v>
      </c>
      <c r="I26" s="50">
        <v>5</v>
      </c>
      <c r="J26" s="50">
        <v>3</v>
      </c>
      <c r="K26" s="50">
        <v>5</v>
      </c>
      <c r="L26" s="50">
        <v>5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84</v>
      </c>
      <c r="BV26" s="50">
        <v>92</v>
      </c>
      <c r="BW26" s="50">
        <v>10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S11:U11"/>
    <mergeCell ref="V11:Z11"/>
    <mergeCell ref="BL11:BP11"/>
    <mergeCell ref="BQ11:BR11"/>
    <mergeCell ref="BV11:CO11"/>
    <mergeCell ref="F2:CX2"/>
    <mergeCell ref="F3:CX3"/>
    <mergeCell ref="F4:CX4"/>
    <mergeCell ref="F6:CX6"/>
    <mergeCell ref="E7:F7"/>
    <mergeCell ref="S7:W7"/>
    <mergeCell ref="BL7:BP7"/>
    <mergeCell ref="BV7:CO7"/>
    <mergeCell ref="E11:F11"/>
    <mergeCell ref="H13:BT14"/>
    <mergeCell ref="E8:F8"/>
    <mergeCell ref="BV8:CO8"/>
    <mergeCell ref="S10:U10"/>
    <mergeCell ref="V10:Z10"/>
    <mergeCell ref="BL10:BP10"/>
    <mergeCell ref="BV10:CO10"/>
    <mergeCell ref="K10:O10"/>
    <mergeCell ref="S9:W9"/>
    <mergeCell ref="S8:W8"/>
    <mergeCell ref="BL8:BP8"/>
    <mergeCell ref="BL9:BP9"/>
    <mergeCell ref="BV9:CO9"/>
    <mergeCell ref="K7:O7"/>
    <mergeCell ref="K8:O8"/>
    <mergeCell ref="E9:F9"/>
    <mergeCell ref="K9:O9"/>
    <mergeCell ref="E10:F10"/>
    <mergeCell ref="BU13:CN14"/>
    <mergeCell ref="CO13:CX14"/>
    <mergeCell ref="E13:E17"/>
    <mergeCell ref="F13:F17"/>
    <mergeCell ref="G13:G1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abSelected="1" topLeftCell="H16" workbookViewId="0">
      <selection activeCell="AC21" sqref="AC21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50" t="s">
        <v>0</v>
      </c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Q2" s="240"/>
      <c r="CR2" s="240"/>
      <c r="CS2" s="240"/>
      <c r="CT2" s="240"/>
      <c r="CU2" s="240"/>
      <c r="CV2" s="240"/>
      <c r="CW2" s="240"/>
      <c r="CX2" s="240"/>
      <c r="CY2" s="240"/>
      <c r="CZ2" s="240"/>
      <c r="DA2" s="240"/>
      <c r="DB2" s="240"/>
      <c r="DC2" s="240"/>
      <c r="DD2" s="240"/>
      <c r="DE2" s="240"/>
      <c r="DF2" s="240"/>
      <c r="DG2" s="240"/>
      <c r="DH2" s="240"/>
      <c r="DI2" s="72"/>
    </row>
    <row r="3" spans="5:113" ht="16.5">
      <c r="F3" s="251" t="s">
        <v>1</v>
      </c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0"/>
      <c r="BK3" s="240"/>
      <c r="BL3" s="240"/>
      <c r="BM3" s="240"/>
      <c r="BN3" s="240"/>
      <c r="BO3" s="240"/>
      <c r="BP3" s="240"/>
      <c r="BQ3" s="240"/>
      <c r="BR3" s="240"/>
      <c r="BS3" s="240"/>
      <c r="BT3" s="240"/>
      <c r="BU3" s="240"/>
      <c r="BV3" s="240"/>
      <c r="BW3" s="240"/>
      <c r="BX3" s="240"/>
      <c r="BY3" s="240"/>
      <c r="BZ3" s="240"/>
      <c r="CA3" s="240"/>
      <c r="CB3" s="240"/>
      <c r="CC3" s="240"/>
      <c r="CD3" s="240"/>
      <c r="CE3" s="240"/>
      <c r="CF3" s="240"/>
      <c r="CG3" s="240"/>
      <c r="CH3" s="240"/>
      <c r="CI3" s="240"/>
      <c r="CJ3" s="240"/>
      <c r="CK3" s="240"/>
      <c r="CL3" s="240"/>
      <c r="CM3" s="240"/>
      <c r="CN3" s="240"/>
      <c r="CO3" s="240"/>
      <c r="CP3" s="240"/>
      <c r="CQ3" s="240"/>
      <c r="CR3" s="240"/>
      <c r="CS3" s="240"/>
      <c r="CT3" s="240"/>
      <c r="CU3" s="240"/>
      <c r="CV3" s="240"/>
      <c r="CW3" s="240"/>
      <c r="CX3" s="240"/>
      <c r="CY3" s="240"/>
      <c r="CZ3" s="240"/>
      <c r="DA3" s="240"/>
      <c r="DB3" s="240"/>
      <c r="DC3" s="240"/>
      <c r="DD3" s="240"/>
      <c r="DE3" s="240"/>
      <c r="DF3" s="240"/>
      <c r="DG3" s="240"/>
      <c r="DH3" s="240"/>
      <c r="DI3" s="73"/>
    </row>
    <row r="4" spans="5:113">
      <c r="F4" s="252" t="s">
        <v>2</v>
      </c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3" t="s">
        <v>69</v>
      </c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0"/>
      <c r="AV6" s="240"/>
      <c r="AW6" s="240"/>
      <c r="AX6" s="240"/>
      <c r="AY6" s="240"/>
      <c r="AZ6" s="240"/>
      <c r="BA6" s="240"/>
      <c r="BB6" s="240"/>
      <c r="BC6" s="240"/>
      <c r="BD6" s="240"/>
      <c r="BE6" s="240"/>
      <c r="BF6" s="240"/>
      <c r="BG6" s="240"/>
      <c r="BH6" s="240"/>
      <c r="BI6" s="240"/>
      <c r="BJ6" s="240"/>
      <c r="BK6" s="240"/>
      <c r="BL6" s="240"/>
      <c r="BM6" s="240"/>
      <c r="BN6" s="240"/>
      <c r="BO6" s="240"/>
      <c r="BP6" s="240"/>
      <c r="BQ6" s="240"/>
      <c r="BR6" s="240"/>
      <c r="BS6" s="240"/>
      <c r="BT6" s="240"/>
      <c r="BU6" s="240"/>
      <c r="BV6" s="240"/>
      <c r="BW6" s="240"/>
      <c r="BX6" s="240"/>
      <c r="BY6" s="240"/>
      <c r="BZ6" s="240"/>
      <c r="CA6" s="240"/>
      <c r="CB6" s="240"/>
      <c r="CC6" s="240"/>
      <c r="CD6" s="240"/>
      <c r="CE6" s="240"/>
      <c r="CF6" s="240"/>
      <c r="CG6" s="240"/>
      <c r="CH6" s="240"/>
      <c r="CI6" s="240"/>
      <c r="CJ6" s="240"/>
      <c r="CK6" s="240"/>
      <c r="CL6" s="240"/>
      <c r="CM6" s="240"/>
      <c r="CN6" s="240"/>
      <c r="CO6" s="240"/>
      <c r="CP6" s="240"/>
      <c r="CQ6" s="240"/>
      <c r="CR6" s="240"/>
      <c r="CS6" s="240"/>
      <c r="CT6" s="240"/>
      <c r="CU6" s="240"/>
      <c r="CV6" s="240"/>
      <c r="CW6" s="240"/>
      <c r="CX6" s="240"/>
      <c r="CY6" s="240"/>
      <c r="CZ6" s="240"/>
      <c r="DA6" s="240"/>
      <c r="DB6" s="240"/>
      <c r="DC6" s="240"/>
      <c r="DD6" s="240"/>
      <c r="DE6" s="240"/>
      <c r="DF6" s="240"/>
      <c r="DG6" s="240"/>
      <c r="DH6" s="240"/>
      <c r="DI6" s="75"/>
    </row>
    <row r="7" spans="5:113">
      <c r="E7" s="241" t="s">
        <v>3</v>
      </c>
      <c r="F7" s="240"/>
      <c r="G7" s="5" t="str">
        <f>'Midterm OVPAA-F-INS-055A RAW SC'!G7</f>
        <v>T40</v>
      </c>
      <c r="H7" s="6"/>
      <c r="I7" s="3" t="s">
        <v>5</v>
      </c>
      <c r="J7" s="5"/>
      <c r="K7" s="239" t="str">
        <f>'Midterm OVPAA-F-INS-055A RAW SC'!K7</f>
        <v>TF</v>
      </c>
      <c r="L7" s="240"/>
      <c r="M7" s="240"/>
      <c r="N7" s="240"/>
      <c r="O7" s="240"/>
      <c r="P7" s="5"/>
      <c r="Q7" s="2"/>
      <c r="R7" s="6"/>
      <c r="S7" s="239"/>
      <c r="T7" s="240"/>
      <c r="U7" s="240"/>
      <c r="V7" s="240"/>
      <c r="W7" s="24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40"/>
      <c r="BN7" s="240"/>
      <c r="BO7" s="240"/>
      <c r="BP7" s="240"/>
      <c r="BQ7" s="5"/>
      <c r="BR7" s="5"/>
      <c r="BS7" s="5"/>
      <c r="BT7" s="2"/>
      <c r="BU7" s="6"/>
      <c r="BV7" s="239"/>
      <c r="BW7" s="240"/>
      <c r="BX7" s="240"/>
      <c r="BY7" s="240"/>
      <c r="BZ7" s="240"/>
      <c r="CA7" s="240"/>
      <c r="CB7" s="240"/>
      <c r="CC7" s="240"/>
      <c r="CD7" s="240"/>
      <c r="CE7" s="240"/>
      <c r="CF7" s="240"/>
      <c r="CG7" s="240"/>
      <c r="CH7" s="240"/>
      <c r="CI7" s="240"/>
      <c r="CJ7" s="240"/>
      <c r="CK7" s="240"/>
      <c r="CL7" s="240"/>
      <c r="CM7" s="240"/>
      <c r="CN7" s="240"/>
      <c r="CO7" s="24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40"/>
      <c r="DE7" s="240"/>
      <c r="DF7" s="240"/>
      <c r="DG7" s="240"/>
      <c r="DH7" s="5"/>
      <c r="DI7" s="5"/>
    </row>
    <row r="8" spans="5:113">
      <c r="E8" s="241" t="s">
        <v>7</v>
      </c>
      <c r="F8" s="240"/>
      <c r="G8" s="5" t="str">
        <f>'Midterm OVPAA-F-INS-055A RAW SC'!G8</f>
        <v>DA 142</v>
      </c>
      <c r="H8" s="6"/>
      <c r="I8" s="3" t="s">
        <v>9</v>
      </c>
      <c r="J8" s="5"/>
      <c r="K8" s="239" t="str">
        <f>'Midterm OVPAA-F-INS-055A RAW SC'!K8</f>
        <v>7:30AM-10:00AM</v>
      </c>
      <c r="L8" s="240"/>
      <c r="M8" s="240"/>
      <c r="N8" s="240"/>
      <c r="O8" s="240"/>
      <c r="P8" s="5"/>
      <c r="Q8" s="2"/>
      <c r="R8" s="6"/>
      <c r="S8" s="239"/>
      <c r="T8" s="240"/>
      <c r="U8" s="240"/>
      <c r="V8" s="240"/>
      <c r="W8" s="24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40"/>
      <c r="BN8" s="240"/>
      <c r="BO8" s="240"/>
      <c r="BP8" s="240"/>
      <c r="BQ8" s="5"/>
      <c r="BR8" s="5"/>
      <c r="BS8" s="5"/>
      <c r="BT8" s="2"/>
      <c r="BU8" s="6"/>
      <c r="BV8" s="239"/>
      <c r="BW8" s="240"/>
      <c r="BX8" s="240"/>
      <c r="BY8" s="240"/>
      <c r="BZ8" s="240"/>
      <c r="CA8" s="240"/>
      <c r="CB8" s="240"/>
      <c r="CC8" s="240"/>
      <c r="CD8" s="240"/>
      <c r="CE8" s="240"/>
      <c r="CF8" s="240"/>
      <c r="CG8" s="240"/>
      <c r="CH8" s="240"/>
      <c r="CI8" s="240"/>
      <c r="CJ8" s="240"/>
      <c r="CK8" s="240"/>
      <c r="CL8" s="240"/>
      <c r="CM8" s="240"/>
      <c r="CN8" s="240"/>
      <c r="CO8" s="24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40"/>
      <c r="DE8" s="240"/>
      <c r="DF8" s="240"/>
      <c r="DG8" s="240"/>
      <c r="DH8" s="5"/>
      <c r="DI8" s="5"/>
    </row>
    <row r="9" spans="5:113">
      <c r="E9" s="241" t="s">
        <v>11</v>
      </c>
      <c r="F9" s="240"/>
      <c r="G9" s="5" t="str">
        <f>'Midterm OVPAA-F-INS-055A RAW SC'!G9</f>
        <v>Animation Design and Production</v>
      </c>
      <c r="H9" s="6"/>
      <c r="I9" s="3" t="s">
        <v>13</v>
      </c>
      <c r="J9" s="5"/>
      <c r="K9" s="239" t="str">
        <f>'Midterm OVPAA-F-INS-055A RAW SC'!K9</f>
        <v>Lab 7</v>
      </c>
      <c r="L9" s="240"/>
      <c r="M9" s="240"/>
      <c r="N9" s="240"/>
      <c r="O9" s="240"/>
      <c r="P9" s="5"/>
      <c r="Q9" s="2"/>
      <c r="R9" s="6"/>
      <c r="S9" s="239"/>
      <c r="T9" s="240"/>
      <c r="U9" s="240"/>
      <c r="V9" s="240"/>
      <c r="W9" s="24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40"/>
      <c r="BN9" s="240"/>
      <c r="BO9" s="240"/>
      <c r="BP9" s="240"/>
      <c r="BQ9" s="5"/>
      <c r="BR9" s="5"/>
      <c r="BS9" s="5"/>
      <c r="BT9" s="2"/>
      <c r="BU9" s="6"/>
      <c r="BV9" s="239"/>
      <c r="BW9" s="240"/>
      <c r="BX9" s="240"/>
      <c r="BY9" s="240"/>
      <c r="BZ9" s="240"/>
      <c r="CA9" s="240"/>
      <c r="CB9" s="240"/>
      <c r="CC9" s="240"/>
      <c r="CD9" s="240"/>
      <c r="CE9" s="240"/>
      <c r="CF9" s="240"/>
      <c r="CG9" s="240"/>
      <c r="CH9" s="240"/>
      <c r="CI9" s="240"/>
      <c r="CJ9" s="240"/>
      <c r="CK9" s="240"/>
      <c r="CL9" s="240"/>
      <c r="CM9" s="240"/>
      <c r="CN9" s="240"/>
      <c r="CO9" s="24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40"/>
      <c r="DE9" s="240"/>
      <c r="DF9" s="240"/>
      <c r="DG9" s="240"/>
      <c r="DH9" s="5"/>
      <c r="DI9" s="5"/>
    </row>
    <row r="10" spans="5:113">
      <c r="E10" s="241" t="s">
        <v>15</v>
      </c>
      <c r="F10" s="240"/>
      <c r="G10" s="5" t="str">
        <f>'Midterm OVPAA-F-INS-055A RAW SC'!G10</f>
        <v>1st Sem</v>
      </c>
      <c r="H10" s="6"/>
      <c r="I10" s="3" t="s">
        <v>17</v>
      </c>
      <c r="J10" s="5"/>
      <c r="K10" s="239">
        <f>'Midterm OVPAA-F-INS-055A RAW SC'!K10</f>
        <v>3</v>
      </c>
      <c r="L10" s="240"/>
      <c r="M10" s="240"/>
      <c r="N10" s="240"/>
      <c r="O10" s="240"/>
      <c r="P10" s="5"/>
      <c r="Q10" s="2"/>
      <c r="R10" s="6"/>
      <c r="S10" s="241" t="s">
        <v>18</v>
      </c>
      <c r="T10" s="240"/>
      <c r="U10" s="240"/>
      <c r="V10" s="239" t="str">
        <f>'Midterm OVPAA-F-INS-055A RAW SC'!V10</f>
        <v>Information Technology</v>
      </c>
      <c r="W10" s="240"/>
      <c r="X10" s="240"/>
      <c r="Y10" s="240"/>
      <c r="Z10" s="24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40"/>
      <c r="BN10" s="240"/>
      <c r="BO10" s="240"/>
      <c r="BP10" s="240"/>
      <c r="BQ10" s="5"/>
      <c r="BR10" s="5"/>
      <c r="BS10" s="5"/>
      <c r="BT10" s="2"/>
      <c r="BU10" s="6"/>
      <c r="BV10" s="239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240"/>
      <c r="CI10" s="240"/>
      <c r="CJ10" s="240"/>
      <c r="CK10" s="240"/>
      <c r="CL10" s="240"/>
      <c r="CM10" s="240"/>
      <c r="CN10" s="240"/>
      <c r="CO10" s="24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40"/>
      <c r="DE10" s="240"/>
      <c r="DF10" s="240"/>
      <c r="DG10" s="240"/>
      <c r="DH10" s="5"/>
      <c r="DI10" s="5"/>
    </row>
    <row r="11" spans="5:113">
      <c r="E11" s="241" t="s">
        <v>20</v>
      </c>
      <c r="F11" s="240"/>
      <c r="G11" s="6" t="str">
        <f>'Midterm OVPAA-F-INS-055A RAW SC'!G11</f>
        <v>2025-2026</v>
      </c>
      <c r="H11" s="6"/>
      <c r="I11" s="3" t="s">
        <v>70</v>
      </c>
      <c r="J11" s="5"/>
      <c r="K11" s="239" t="str">
        <f>'Midterm OVPAA-F-INS-055A RAW SC'!K11</f>
        <v>Dr. Sales G. Aribe, Jr.</v>
      </c>
      <c r="L11" s="240"/>
      <c r="M11" s="240"/>
      <c r="N11" s="240"/>
      <c r="O11" s="240"/>
      <c r="P11" s="5"/>
      <c r="Q11" s="2"/>
      <c r="R11" s="6"/>
      <c r="S11" s="241" t="s">
        <v>24</v>
      </c>
      <c r="T11" s="240"/>
      <c r="U11" s="240"/>
      <c r="V11" s="239" t="str">
        <f>'Midterm OVPAA-F-INS-055A RAW SC'!V11</f>
        <v>College of Technologies</v>
      </c>
      <c r="W11" s="240"/>
      <c r="X11" s="240"/>
      <c r="Y11" s="240"/>
      <c r="Z11" s="24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40"/>
      <c r="BN11" s="240"/>
      <c r="BO11" s="240"/>
      <c r="BP11" s="240"/>
      <c r="BQ11" s="254"/>
      <c r="BR11" s="240"/>
      <c r="BS11" s="5"/>
      <c r="BT11" s="2"/>
      <c r="BU11" s="6"/>
      <c r="BV11" s="239"/>
      <c r="BW11" s="240"/>
      <c r="BX11" s="240"/>
      <c r="BY11" s="240"/>
      <c r="BZ11" s="240"/>
      <c r="CA11" s="240"/>
      <c r="CB11" s="240"/>
      <c r="CC11" s="240"/>
      <c r="CD11" s="240"/>
      <c r="CE11" s="240"/>
      <c r="CF11" s="240"/>
      <c r="CG11" s="240"/>
      <c r="CH11" s="240"/>
      <c r="CI11" s="240"/>
      <c r="CJ11" s="240"/>
      <c r="CK11" s="240"/>
      <c r="CL11" s="240"/>
      <c r="CM11" s="240"/>
      <c r="CN11" s="240"/>
      <c r="CO11" s="240"/>
      <c r="CP11" s="254"/>
      <c r="CQ11" s="240"/>
      <c r="CR11" s="240"/>
      <c r="CS11" s="24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40"/>
      <c r="DE11" s="240"/>
      <c r="DF11" s="240"/>
      <c r="DG11" s="240"/>
      <c r="DH11" s="254"/>
      <c r="DI11" s="240"/>
    </row>
    <row r="12" spans="5:113">
      <c r="E12" s="242" t="s">
        <v>26</v>
      </c>
      <c r="F12" s="225"/>
      <c r="G12" s="11" t="str">
        <f>'Midterm OVPAA-F-INS-055A RAW SC'!G12</f>
        <v>Czarissa Louise A. Navidad</v>
      </c>
      <c r="H12" s="2"/>
      <c r="I12" s="10" t="s">
        <v>28</v>
      </c>
      <c r="J12" s="11"/>
      <c r="K12" s="243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44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3"/>
      <c r="BM12" s="225"/>
      <c r="BN12" s="225"/>
      <c r="BO12" s="225"/>
      <c r="BP12" s="225"/>
      <c r="BQ12" s="244"/>
      <c r="BR12" s="225"/>
      <c r="BS12" s="11"/>
      <c r="BT12" s="16"/>
      <c r="BU12" s="76"/>
      <c r="BV12" s="243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44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43"/>
      <c r="DD12" s="225"/>
      <c r="DE12" s="225"/>
      <c r="DF12" s="225"/>
      <c r="DG12" s="225"/>
      <c r="DH12" s="244"/>
      <c r="DI12" s="225"/>
    </row>
    <row r="13" spans="5:113" ht="15" customHeight="1">
      <c r="E13" s="245" t="s">
        <v>31</v>
      </c>
      <c r="F13" s="245" t="s">
        <v>32</v>
      </c>
      <c r="G13" s="245" t="s">
        <v>33</v>
      </c>
      <c r="H13" s="248" t="s">
        <v>34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3"/>
      <c r="BW13" s="221" t="s">
        <v>35</v>
      </c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3"/>
      <c r="CS13" s="227" t="s">
        <v>36</v>
      </c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3"/>
      <c r="DE13" s="228" t="s">
        <v>71</v>
      </c>
      <c r="DF13" s="229"/>
      <c r="DG13" s="230"/>
      <c r="DH13" s="231" t="s">
        <v>92</v>
      </c>
      <c r="DI13" s="223"/>
    </row>
    <row r="14" spans="5:113" ht="15" customHeight="1">
      <c r="E14" s="246"/>
      <c r="F14" s="246"/>
      <c r="G14" s="246"/>
      <c r="H14" s="249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6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6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6"/>
      <c r="DE14" s="77" t="s">
        <v>73</v>
      </c>
      <c r="DF14" s="78" t="s">
        <v>74</v>
      </c>
      <c r="DG14" s="79" t="s">
        <v>75</v>
      </c>
      <c r="DH14" s="224"/>
      <c r="DI14" s="226"/>
    </row>
    <row r="15" spans="5:113">
      <c r="E15" s="246"/>
      <c r="F15" s="246"/>
      <c r="G15" s="246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2" t="s">
        <v>76</v>
      </c>
      <c r="BV15" s="234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36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37" t="s">
        <v>76</v>
      </c>
      <c r="DD15" s="238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46"/>
      <c r="F16" s="246"/>
      <c r="G16" s="246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33"/>
      <c r="BV16" s="235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33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33"/>
      <c r="DD16" s="235"/>
      <c r="DE16" s="90"/>
      <c r="DF16" s="91"/>
      <c r="DG16" s="92"/>
      <c r="DH16" s="93"/>
      <c r="DI16" s="94"/>
    </row>
    <row r="17" spans="5:113">
      <c r="E17" s="247"/>
      <c r="F17" s="247"/>
      <c r="G17" s="247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f>IF('Finalterm OVPAA-F-INS-055A RAW '!BU18="","",'Finalterm OVPAA-F-INS-055A RAW '!BU18/'Finalterm OVPAA-F-INS-055A RAW '!BU$17*100)</f>
        <v>95</v>
      </c>
      <c r="BX18" s="113">
        <f>IF('Finalterm OVPAA-F-INS-055A RAW '!BV18="","",'Finalterm OVPAA-F-INS-055A RAW '!BV18/'Finalterm OVPAA-F-INS-055A RAW '!BV$17*100)</f>
        <v>0</v>
      </c>
      <c r="BY18" s="113">
        <f>IF('Finalterm OVPAA-F-INS-055A RAW '!BW18="","",'Finalterm OVPAA-F-INS-055A RAW '!BW18/'Finalterm OVPAA-F-INS-055A RAW '!BW$17*100)</f>
        <v>100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str">
        <f>IF('Finalterm OVPAA-F-INS-055A RAW '!CN18="","",'Finalterm OVPAA-F-INS-055A RAW '!CN18/'Finalterm OVPAA-F-INS-055A RAW '!CN$17*100)</f>
        <v/>
      </c>
      <c r="CQ18" s="157">
        <f t="array" ref="CQ18">IF('Midterm OVPAA-F-INS-055A RAW SC'!G18="","",IF((SUMPRODUCT(--ISBLANK('Finalterm OVPAA-F-INS-055A RAW '!BU18:CN18))=COLUMNS('Finalterm OVPAA-F-INS-055A RAW '!BU18:CN18))=TRUE,"",(((COUNTA('Finalterm OVPAA-F-INS-055A RAW '!$BU$17:$CN$17)+COUNTBLANK('Finalterm OVPAA-F-INS-055A RAW '!BU18:CN18))-COLUMNS('Finalterm OVPAA-F-INS-055A RAW '!BU18:CN18))*5+SUM(BW18:CP18))/COUNTA('Finalterm OVPAA-F-INS-055A RAW '!$BU$17:$CN$17)))</f>
        <v>65</v>
      </c>
      <c r="CR18" s="116">
        <f>IF(CQ18="","",VLOOKUP(CQ18,IF('Midterm OVPAA-F-INS-055A RAW SC'!$V$12=0.5,TRANSMUTATION!$C$4:$D$17,TRANSMUTATION!$G$4:$H$17),2,TRUE))</f>
        <v>2.5</v>
      </c>
      <c r="CS18" s="158">
        <f>IF('Finalterm OVPAA-F-INS-055A RAW '!CO18="","",'Finalterm OVPAA-F-INS-055A RAW '!CO18/'Finalterm OVPAA-F-INS-055A RAW '!CO$17*100)</f>
        <v>100</v>
      </c>
      <c r="CT18" s="158">
        <f>IF('Finalterm OVPAA-F-INS-055A RAW '!CP18="","",'Finalterm OVPAA-F-INS-055A RAW '!CP18/'Finalterm OVPAA-F-INS-055A RAW '!CP$17*100)</f>
        <v>91.25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95.625</v>
      </c>
      <c r="DD18" s="160">
        <f>IF(DC18="","",VLOOKUP(DC18,IF('Midterm OVPAA-F-INS-055A RAW SC'!$V$12=0.5,TRANSMUTATION!$C$4:$D$17,TRANSMUTATION!$G$4:$H$17),2,TRUE))</f>
        <v>1.25</v>
      </c>
      <c r="DE18" s="120">
        <f t="shared" ref="DE18:DE117" si="1">IF(BV18="","",(BV18*DE$15))</f>
        <v>1.5</v>
      </c>
      <c r="DF18" s="161">
        <f t="shared" ref="DF18:DF117" si="2">IF(CR18="","",(CR18*DF$15))</f>
        <v>0.75</v>
      </c>
      <c r="DG18" s="162">
        <f t="shared" ref="DG18:DG117" si="3">IF(DD18="","",(DD18*DG$15))</f>
        <v>0.5</v>
      </c>
      <c r="DH18" s="163">
        <f t="shared" ref="DH18:DH117" si="4">IF($DF$15="",IF(OR(DE18="",DG18="")=TRUE,"",(SUM(DE18:DG18))),IF(OR(DE18="",DF18="",DG18="")=TRUE,"",(SUM(DE18:DG18))))</f>
        <v>2.75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2.75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f>IF('Finalterm OVPAA-F-INS-055A RAW '!BU19="","",'Finalterm OVPAA-F-INS-055A RAW '!BU19/'Finalterm OVPAA-F-INS-055A RAW '!BU$17*100)</f>
        <v>92</v>
      </c>
      <c r="BX19" s="130">
        <f>IF('Finalterm OVPAA-F-INS-055A RAW '!BV19="","",'Finalterm OVPAA-F-INS-055A RAW '!BV19/'Finalterm OVPAA-F-INS-055A RAW '!BV$17*100)</f>
        <v>100</v>
      </c>
      <c r="BY19" s="130">
        <f>IF('Finalterm OVPAA-F-INS-055A RAW '!BW19="","",'Finalterm OVPAA-F-INS-055A RAW '!BW19/'Finalterm OVPAA-F-INS-055A RAW '!BW$17*100)</f>
        <v>100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97.333333333333329</v>
      </c>
      <c r="CR19" s="132">
        <f>IF(CQ19="","",VLOOKUP(CQ19,IF('Midterm OVPAA-F-INS-055A RAW SC'!$V$12=0.5,TRANSMUTATION!$C$4:$D$17,TRANSMUTATION!$G$4:$H$17),2,TRUE))</f>
        <v>1</v>
      </c>
      <c r="CS19" s="133">
        <f>IF('Finalterm OVPAA-F-INS-055A RAW '!CO19="","",'Finalterm OVPAA-F-INS-055A RAW '!CO19/'Finalterm OVPAA-F-INS-055A RAW '!CO$17*100)</f>
        <v>100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86.25</v>
      </c>
      <c r="DD19" s="135">
        <f>IF(DC19="","",VLOOKUP(DC19,IF('Midterm OVPAA-F-INS-055A RAW SC'!$V$12=0.5,TRANSMUTATION!$C$4:$D$17,TRANSMUTATION!$G$4:$H$17),2,TRUE))</f>
        <v>1.5</v>
      </c>
      <c r="DE19" s="136">
        <f t="shared" si="1"/>
        <v>0.3</v>
      </c>
      <c r="DF19" s="166">
        <f t="shared" si="2"/>
        <v>0.3</v>
      </c>
      <c r="DG19" s="167">
        <f t="shared" si="3"/>
        <v>0.60000000000000009</v>
      </c>
      <c r="DH19" s="168">
        <f t="shared" si="4"/>
        <v>1.2000000000000002</v>
      </c>
      <c r="DI19" s="169" t="str">
        <f t="shared" si="5"/>
        <v>1.25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100</v>
      </c>
      <c r="I20" s="126">
        <f>IF('Finalterm OVPAA-F-INS-055A RAW '!I20="","",'Finalterm OVPAA-F-INS-055A RAW '!I20/'Finalterm OVPAA-F-INS-055A RAW '!I$17*100)</f>
        <v>100</v>
      </c>
      <c r="J20" s="126">
        <f>IF('Finalterm OVPAA-F-INS-055A RAW '!J20="","",'Finalterm OVPAA-F-INS-055A RAW '!J20/'Finalterm OVPAA-F-INS-055A RAW '!J$17*100)</f>
        <v>60</v>
      </c>
      <c r="K20" s="126">
        <f>IF('Finalterm OVPAA-F-INS-055A RAW '!K20="","",'Finalterm OVPAA-F-INS-055A RAW '!K20/'Finalterm OVPAA-F-INS-055A RAW '!K$17*100)</f>
        <v>100</v>
      </c>
      <c r="L20" s="126">
        <f>IF('Finalterm OVPAA-F-INS-055A RAW '!L20="","",'Finalterm OVPAA-F-INS-055A RAW '!L20/'Finalterm OVPAA-F-INS-055A RAW '!L$17*100)</f>
        <v>100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92</v>
      </c>
      <c r="BV20" s="165">
        <f>IF(BU20="","",VLOOKUP(BU20,IF('Midterm OVPAA-F-INS-055A RAW SC'!$V$12=0.5,TRANSMUTATION!$C$4:$D$17,TRANSMUTATION!$G$4:$H$17),2,TRUE))</f>
        <v>1.25</v>
      </c>
      <c r="BW20" s="129">
        <f>IF('Finalterm OVPAA-F-INS-055A RAW '!BU20="","",'Finalterm OVPAA-F-INS-055A RAW '!BU20/'Finalterm OVPAA-F-INS-055A RAW '!BU$17*100)</f>
        <v>87</v>
      </c>
      <c r="BX20" s="130">
        <f>IF('Finalterm OVPAA-F-INS-055A RAW '!BV20="","",'Finalterm OVPAA-F-INS-055A RAW '!BV20/'Finalterm OVPAA-F-INS-055A RAW '!BV$17*100)</f>
        <v>70</v>
      </c>
      <c r="BY20" s="130">
        <f>IF('Finalterm OVPAA-F-INS-055A RAW '!BW20="","",'Finalterm OVPAA-F-INS-055A RAW '!BW20/'Finalterm OVPAA-F-INS-055A RAW '!BW$17*100)</f>
        <v>100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85.666666666666671</v>
      </c>
      <c r="CR20" s="132">
        <f>IF(CQ20="","",VLOOKUP(CQ20,IF('Midterm OVPAA-F-INS-055A RAW SC'!$V$12=0.5,TRANSMUTATION!$C$4:$D$17,TRANSMUTATION!$G$4:$H$17),2,TRUE))</f>
        <v>1.75</v>
      </c>
      <c r="CS20" s="133">
        <f>IF('Finalterm OVPAA-F-INS-055A RAW '!CO20="","",'Finalterm OVPAA-F-INS-055A RAW '!CO20/'Finalterm OVPAA-F-INS-055A RAW '!CO$17*100)</f>
        <v>80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80.125</v>
      </c>
      <c r="DD20" s="135">
        <f>IF(DC20="","",VLOOKUP(DC20,IF('Midterm OVPAA-F-INS-055A RAW SC'!$V$12=0.5,TRANSMUTATION!$C$4:$D$17,TRANSMUTATION!$G$4:$H$17),2,TRUE))</f>
        <v>1.75</v>
      </c>
      <c r="DE20" s="136">
        <f t="shared" si="1"/>
        <v>0.375</v>
      </c>
      <c r="DF20" s="166">
        <f t="shared" si="2"/>
        <v>0.52500000000000002</v>
      </c>
      <c r="DG20" s="167">
        <f t="shared" si="3"/>
        <v>0.70000000000000007</v>
      </c>
      <c r="DH20" s="168">
        <f t="shared" si="4"/>
        <v>1.6</v>
      </c>
      <c r="DI20" s="169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100</v>
      </c>
      <c r="J21" s="126">
        <f>IF('Finalterm OVPAA-F-INS-055A RAW '!J21="","",'Finalterm OVPAA-F-INS-055A RAW '!J21/'Finalterm OVPAA-F-INS-055A RAW '!J$17*100)</f>
        <v>60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92</v>
      </c>
      <c r="BV21" s="165">
        <f>IF(BU21="","",VLOOKUP(BU21,IF('Midterm OVPAA-F-INS-055A RAW SC'!$V$12=0.5,TRANSMUTATION!$C$4:$D$17,TRANSMUTATION!$G$4:$H$17),2,TRUE))</f>
        <v>1.25</v>
      </c>
      <c r="BW21" s="129">
        <f>IF('Finalterm OVPAA-F-INS-055A RAW '!BU21="","",'Finalterm OVPAA-F-INS-055A RAW '!BU21/'Finalterm OVPAA-F-INS-055A RAW '!BU$17*100)</f>
        <v>84</v>
      </c>
      <c r="BX21" s="130">
        <f>IF('Finalterm OVPAA-F-INS-055A RAW '!BV21="","",'Finalterm OVPAA-F-INS-055A RAW '!BV21/'Finalterm OVPAA-F-INS-055A RAW '!BV$17*100)</f>
        <v>92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92</v>
      </c>
      <c r="CR21" s="132">
        <f>IF(CQ21="","",VLOOKUP(CQ21,IF('Midterm OVPAA-F-INS-055A RAW SC'!$V$12=0.5,TRANSMUTATION!$C$4:$D$17,TRANSMUTATION!$G$4:$H$17),2,TRUE))</f>
        <v>1.25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0.375</v>
      </c>
      <c r="DF21" s="166">
        <f t="shared" si="2"/>
        <v>0.375</v>
      </c>
      <c r="DG21" s="167">
        <f t="shared" si="3"/>
        <v>1</v>
      </c>
      <c r="DH21" s="168">
        <f t="shared" si="4"/>
        <v>1.75</v>
      </c>
      <c r="DI21" s="169" t="str">
        <f t="shared" si="5"/>
        <v>1.75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100</v>
      </c>
      <c r="K22" s="126">
        <f>IF('Finalterm OVPAA-F-INS-055A RAW '!K22="","",'Finalterm OVPAA-F-INS-055A RAW '!K22/'Finalterm OVPAA-F-INS-055A RAW '!K$17*100)</f>
        <v>100</v>
      </c>
      <c r="L22" s="126">
        <f>IF('Finalterm OVPAA-F-INS-055A RAW '!L22="","",'Finalterm OVPAA-F-INS-055A RAW '!L22/'Finalterm OVPAA-F-INS-055A RAW '!L$17*100)</f>
        <v>100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100</v>
      </c>
      <c r="BV22" s="165">
        <f>IF(BU22="","",VLOOKUP(BU22,IF('Midterm OVPAA-F-INS-055A RAW SC'!$V$12=0.5,TRANSMUTATION!$C$4:$D$17,TRANSMUTATION!$G$4:$H$17),2,TRUE))</f>
        <v>1</v>
      </c>
      <c r="BW22" s="129">
        <f>IF('Finalterm OVPAA-F-INS-055A RAW '!BU22="","",'Finalterm OVPAA-F-INS-055A RAW '!BU22/'Finalterm OVPAA-F-INS-055A RAW '!BU$17*100)</f>
        <v>92</v>
      </c>
      <c r="BX22" s="130">
        <f>IF('Finalterm OVPAA-F-INS-055A RAW '!BV22="","",'Finalterm OVPAA-F-INS-055A RAW '!BV22/'Finalterm OVPAA-F-INS-055A RAW '!BV$17*100)</f>
        <v>100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97.333333333333329</v>
      </c>
      <c r="CR22" s="132">
        <f>IF(CQ22="","",VLOOKUP(CQ22,IF('Midterm OVPAA-F-INS-055A RAW SC'!$V$12=0.5,TRANSMUTATION!$C$4:$D$17,TRANSMUTATION!$G$4:$H$17),2,TRUE))</f>
        <v>1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0.3</v>
      </c>
      <c r="DF22" s="166">
        <f t="shared" si="2"/>
        <v>0.3</v>
      </c>
      <c r="DG22" s="167">
        <f t="shared" si="3"/>
        <v>0.60000000000000009</v>
      </c>
      <c r="DH22" s="168">
        <f t="shared" si="4"/>
        <v>1.2000000000000002</v>
      </c>
      <c r="DI22" s="169" t="str">
        <f t="shared" si="5"/>
        <v>1.25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100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92</v>
      </c>
      <c r="BV23" s="165">
        <f>IF(BU23="","",VLOOKUP(BU23,IF('Midterm OVPAA-F-INS-055A RAW SC'!$V$12=0.5,TRANSMUTATION!$C$4:$D$17,TRANSMUTATION!$G$4:$H$17),2,TRUE))</f>
        <v>1.25</v>
      </c>
      <c r="BW23" s="129">
        <f>IF('Finalterm OVPAA-F-INS-055A RAW '!BU23="","",'Finalterm OVPAA-F-INS-055A RAW '!BU23/'Finalterm OVPAA-F-INS-055A RAW '!BU$17*100)</f>
        <v>95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100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65</v>
      </c>
      <c r="CR23" s="132">
        <f>IF(CQ23="","",VLOOKUP(CQ23,IF('Midterm OVPAA-F-INS-055A RAW SC'!$V$12=0.5,TRANSMUTATION!$C$4:$D$17,TRANSMUTATION!$G$4:$H$17),2,TRUE))</f>
        <v>2.5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0.375</v>
      </c>
      <c r="DF23" s="166">
        <f t="shared" si="2"/>
        <v>0.75</v>
      </c>
      <c r="DG23" s="167">
        <f t="shared" si="3"/>
        <v>0.5</v>
      </c>
      <c r="DH23" s="168">
        <f t="shared" si="4"/>
        <v>1.625</v>
      </c>
      <c r="DI23" s="169" t="str">
        <f t="shared" si="5"/>
        <v>1.50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100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92</v>
      </c>
      <c r="BV24" s="165">
        <f>IF(BU24="","",VLOOKUP(BU24,IF('Midterm OVPAA-F-INS-055A RAW SC'!$V$12=0.5,TRANSMUTATION!$C$4:$D$17,TRANSMUTATION!$G$4:$H$17),2,TRUE))</f>
        <v>1.25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100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58</v>
      </c>
      <c r="CR24" s="132">
        <f>IF(CQ24="","",VLOOKUP(CQ24,IF('Midterm OVPAA-F-INS-055A RAW SC'!$V$12=0.5,TRANSMUTATION!$C$4:$D$17,TRANSMUTATION!$G$4:$H$17),2,TRUE))</f>
        <v>2.75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0.375</v>
      </c>
      <c r="DF24" s="166">
        <f t="shared" si="2"/>
        <v>0.82499999999999996</v>
      </c>
      <c r="DG24" s="167">
        <f t="shared" si="3"/>
        <v>0.8</v>
      </c>
      <c r="DH24" s="168">
        <f t="shared" si="4"/>
        <v>2</v>
      </c>
      <c r="DI24" s="169" t="str">
        <f t="shared" si="5"/>
        <v>2.00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100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92</v>
      </c>
      <c r="BV25" s="165">
        <f>IF(BU25="","",VLOOKUP(BU25,IF('Midterm OVPAA-F-INS-055A RAW SC'!$V$12=0.5,TRANSMUTATION!$C$4:$D$17,TRANSMUTATION!$G$4:$H$17),2,TRUE))</f>
        <v>1.25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100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65</v>
      </c>
      <c r="CR25" s="132">
        <f>IF(CQ25="","",VLOOKUP(CQ25,IF('Midterm OVPAA-F-INS-055A RAW SC'!$V$12=0.5,TRANSMUTATION!$C$4:$D$17,TRANSMUTATION!$G$4:$H$17),2,TRUE))</f>
        <v>2.5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0.375</v>
      </c>
      <c r="DF25" s="166">
        <f t="shared" si="2"/>
        <v>0.75</v>
      </c>
      <c r="DG25" s="167">
        <f t="shared" si="3"/>
        <v>0.5</v>
      </c>
      <c r="DH25" s="168">
        <f t="shared" si="4"/>
        <v>1.625</v>
      </c>
      <c r="DI25" s="169" t="str">
        <f t="shared" si="5"/>
        <v>1.50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100</v>
      </c>
      <c r="I26" s="126">
        <f>IF('Finalterm OVPAA-F-INS-055A RAW '!I26="","",'Finalterm OVPAA-F-INS-055A RAW '!I26/'Finalterm OVPAA-F-INS-055A RAW '!I$17*100)</f>
        <v>100</v>
      </c>
      <c r="J26" s="126">
        <f>IF('Finalterm OVPAA-F-INS-055A RAW '!J26="","",'Finalterm OVPAA-F-INS-055A RAW '!J26/'Finalterm OVPAA-F-INS-055A RAW '!J$17*100)</f>
        <v>60</v>
      </c>
      <c r="K26" s="126">
        <f>IF('Finalterm OVPAA-F-INS-055A RAW '!K26="","",'Finalterm OVPAA-F-INS-055A RAW '!K26/'Finalterm OVPAA-F-INS-055A RAW '!K$17*100)</f>
        <v>100</v>
      </c>
      <c r="L26" s="126">
        <f>IF('Finalterm OVPAA-F-INS-055A RAW '!L26="","",'Finalterm OVPAA-F-INS-055A RAW '!L26/'Finalterm OVPAA-F-INS-055A RAW '!L$17*100)</f>
        <v>100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92</v>
      </c>
      <c r="BV26" s="165">
        <f>IF(BU26="","",VLOOKUP(BU26,IF('Midterm OVPAA-F-INS-055A RAW SC'!$V$12=0.5,TRANSMUTATION!$C$4:$D$17,TRANSMUTATION!$G$4:$H$17),2,TRUE))</f>
        <v>1.25</v>
      </c>
      <c r="BW26" s="129">
        <f>IF('Finalterm OVPAA-F-INS-055A RAW '!BU26="","",'Finalterm OVPAA-F-INS-055A RAW '!BU26/'Finalterm OVPAA-F-INS-055A RAW '!BU$17*100)</f>
        <v>84</v>
      </c>
      <c r="BX26" s="130">
        <f>IF('Finalterm OVPAA-F-INS-055A RAW '!BV26="","",'Finalterm OVPAA-F-INS-055A RAW '!BV26/'Finalterm OVPAA-F-INS-055A RAW '!BV$17*100)</f>
        <v>92</v>
      </c>
      <c r="BY26" s="130">
        <f>IF('Finalterm OVPAA-F-INS-055A RAW '!BW26="","",'Finalterm OVPAA-F-INS-055A RAW '!BW26/'Finalterm OVPAA-F-INS-055A RAW '!BW$17*100)</f>
        <v>100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92</v>
      </c>
      <c r="CR26" s="132">
        <f>IF(CQ26="","",VLOOKUP(CQ26,IF('Midterm OVPAA-F-INS-055A RAW SC'!$V$12=0.5,TRANSMUTATION!$C$4:$D$17,TRANSMUTATION!$G$4:$H$17),2,TRUE))</f>
        <v>1.25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0.375</v>
      </c>
      <c r="DF26" s="166">
        <f t="shared" si="2"/>
        <v>0.375</v>
      </c>
      <c r="DG26" s="167">
        <f t="shared" si="3"/>
        <v>1</v>
      </c>
      <c r="DH26" s="168">
        <f t="shared" si="4"/>
        <v>1.75</v>
      </c>
      <c r="DI26" s="169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H11:DI11"/>
    <mergeCell ref="BL12:BP12"/>
    <mergeCell ref="BQ12:BR12"/>
    <mergeCell ref="BV12:CO12"/>
    <mergeCell ref="CP12:CS12"/>
    <mergeCell ref="BQ11:BR11"/>
    <mergeCell ref="BV11:CO11"/>
    <mergeCell ref="DC12:DG12"/>
    <mergeCell ref="DH12:DI12"/>
    <mergeCell ref="DC8:DG8"/>
    <mergeCell ref="E11:F11"/>
    <mergeCell ref="K11:O11"/>
    <mergeCell ref="S11:U11"/>
    <mergeCell ref="V11:Z11"/>
    <mergeCell ref="BL11:BP11"/>
    <mergeCell ref="CP11:CS11"/>
    <mergeCell ref="DC11:DG11"/>
    <mergeCell ref="K9:O9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12:F12"/>
    <mergeCell ref="K12:O12"/>
    <mergeCell ref="X12:Y12"/>
    <mergeCell ref="E13:E17"/>
    <mergeCell ref="F13:F17"/>
    <mergeCell ref="G13:G17"/>
    <mergeCell ref="H13:BV14"/>
    <mergeCell ref="BL10:BP10"/>
    <mergeCell ref="BV10:CO10"/>
    <mergeCell ref="DC10:DG10"/>
    <mergeCell ref="E7:F7"/>
    <mergeCell ref="E8:F8"/>
    <mergeCell ref="K8:O8"/>
    <mergeCell ref="S8:W8"/>
    <mergeCell ref="E9:F9"/>
    <mergeCell ref="S9:W9"/>
    <mergeCell ref="E10:F10"/>
    <mergeCell ref="K10:O10"/>
    <mergeCell ref="S10:U10"/>
    <mergeCell ref="V10:Z10"/>
    <mergeCell ref="BL9:BP9"/>
    <mergeCell ref="BV9:CO9"/>
    <mergeCell ref="DC9:DG9"/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workbookViewId="0"/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50" t="s">
        <v>0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</row>
    <row r="3" spans="1:33" ht="16.5">
      <c r="B3" s="251" t="s">
        <v>1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</row>
    <row r="4" spans="1:33">
      <c r="B4" s="252" t="s">
        <v>2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93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8" t="s">
        <v>3</v>
      </c>
      <c r="B7" s="269"/>
      <c r="C7" s="178" t="str">
        <f>IF('Midterm OVPAA-F-INS-055A RAW SC'!G7="","",'Midterm OVPAA-F-INS-055A RAW SC'!G7)</f>
        <v>T40</v>
      </c>
      <c r="D7" s="179"/>
      <c r="E7" s="179"/>
      <c r="F7" s="271" t="s">
        <v>94</v>
      </c>
      <c r="G7" s="259"/>
      <c r="H7" s="259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8" t="s">
        <v>7</v>
      </c>
      <c r="B8" s="269"/>
      <c r="C8" s="183" t="str">
        <f>IF('Midterm OVPAA-F-INS-055A RAW SC'!G8="","",'Midterm OVPAA-F-INS-055A RAW SC'!G8)</f>
        <v>DA 142</v>
      </c>
      <c r="D8" s="184"/>
      <c r="E8" s="184"/>
      <c r="F8" s="271" t="s">
        <v>95</v>
      </c>
      <c r="G8" s="259"/>
      <c r="H8" s="259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8" t="s">
        <v>96</v>
      </c>
      <c r="B9" s="269"/>
      <c r="C9" s="183" t="str">
        <f>IF('Midterm OVPAA-F-INS-055A RAW SC'!G9="","",'Midterm OVPAA-F-INS-055A RAW SC'!G9)</f>
        <v>Animation Design and Production</v>
      </c>
      <c r="D9" s="184"/>
      <c r="E9" s="184"/>
      <c r="F9" s="276" t="s">
        <v>97</v>
      </c>
      <c r="G9" s="257"/>
      <c r="H9" s="277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8" t="s">
        <v>98</v>
      </c>
      <c r="B10" s="269"/>
      <c r="C10" s="178" t="str">
        <f>'Midterm OVPAA-F-INS-055A RAW SC'!G10&amp;"/"&amp;'Midterm OVPAA-F-INS-055A RAW SC'!G11</f>
        <v>1st Sem/2025-2026</v>
      </c>
      <c r="D10" s="179"/>
      <c r="E10" s="186"/>
      <c r="F10" s="271"/>
      <c r="G10" s="259"/>
      <c r="H10" s="269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2" t="s">
        <v>99</v>
      </c>
      <c r="G11" s="259"/>
      <c r="H11" s="259"/>
      <c r="I11" s="259"/>
      <c r="J11" s="269"/>
      <c r="K11" s="272" t="s">
        <v>100</v>
      </c>
      <c r="L11" s="259"/>
      <c r="M11" s="259"/>
      <c r="N11" s="269"/>
      <c r="O11" s="273" t="s">
        <v>101</v>
      </c>
      <c r="P11" s="240"/>
      <c r="Q11" s="274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72" t="s">
        <v>104</v>
      </c>
      <c r="D12" s="259"/>
      <c r="E12" s="269"/>
      <c r="F12" s="272" t="e">
        <f ca="1">_xludf.CONCAT(_xludf.CONCAT("CS (",'MidTerm OVPAA-F-INS-055B CLASS'!DE15*100),"%)")</f>
        <v>#NAME?</v>
      </c>
      <c r="G12" s="269"/>
      <c r="H12" s="192" t="str">
        <f ca="1">IFERROR(_xludf.CONCAT(_xludf.CONCAT("LAB (",'MidTerm OVPAA-F-INS-055B CLASS'!DF15*100),"%)"), "LAB (0%)")</f>
        <v>LAB (0%)</v>
      </c>
      <c r="I12" s="191" t="e">
        <f ca="1">_xludf.CONCAT(_xludf.CONCAT("MO (",'MidTerm OVPAA-F-INS-055B CLASS'!DG15*100),"%)")</f>
        <v>#NAME?</v>
      </c>
      <c r="J12" s="191" t="s">
        <v>105</v>
      </c>
      <c r="K12" s="191" t="e">
        <f ca="1">_xludf.CONCAT(_xludf.CONCAT("CS (",'Finalterm OVPAA-F-INS-055B CLAS'!DE15*100),"%)")</f>
        <v>#NAME?</v>
      </c>
      <c r="L12" s="191" t="str">
        <f ca="1">IFERROR(_xludf.CONCAT(_xludf.CONCAT("LAB (",'Finalterm OVPAA-F-INS-055B CLAS'!DF15*100),"%)"), "LAB (0%)")</f>
        <v>LAB (0%)</v>
      </c>
      <c r="M12" s="191" t="e">
        <f ca="1">_xludf.CONCAT(_xludf.CONCAT("MO (",'MidTerm OVPAA-F-INS-055B CLASS'!DG15*100),"%)")</f>
        <v>#NAME?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68" t="str">
        <f>IF(NOT(ISBLANK('Midterm OVPAA-F-INS-055A RAW SC'!G18)),'Midterm OVPAA-F-INS-055A RAW SC'!G18,"")</f>
        <v>Albarracin, Donna Igar</v>
      </c>
      <c r="D13" s="259"/>
      <c r="E13" s="269"/>
      <c r="F13" s="270">
        <f>'MidTerm OVPAA-F-INS-055B CLASS'!BV18</f>
        <v>1.5</v>
      </c>
      <c r="G13" s="269"/>
      <c r="H13" s="194">
        <f>'MidTerm OVPAA-F-INS-055B CLASS'!CR18</f>
        <v>1.25</v>
      </c>
      <c r="I13" s="195">
        <f>'MidTerm OVPAA-F-INS-055B CLASS'!DD18</f>
        <v>1.75</v>
      </c>
      <c r="J13" s="195" t="str">
        <f>'MidTerm OVPAA-F-INS-055B CLASS'!DI18</f>
        <v>1.50</v>
      </c>
      <c r="K13" s="195">
        <f>'Finalterm OVPAA-F-INS-055B CLAS'!BV18</f>
        <v>5</v>
      </c>
      <c r="L13" s="195">
        <f>'Finalterm OVPAA-F-INS-055B CLAS'!CR18</f>
        <v>2.5</v>
      </c>
      <c r="M13" s="195">
        <f>'Finalterm OVPAA-F-INS-055B CLAS'!DD18</f>
        <v>1.25</v>
      </c>
      <c r="N13" s="195" t="str">
        <f>'Finalterm OVPAA-F-INS-055B CLAS'!DI18</f>
        <v>2.75</v>
      </c>
      <c r="O13" s="195" t="str">
        <f t="shared" ref="O13:O112" si="0">J13</f>
        <v>1.50</v>
      </c>
      <c r="P13" s="195" t="str">
        <f t="shared" ref="P13:P112" si="1">N13</f>
        <v>2.75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2.25</v>
      </c>
      <c r="R13" s="196" t="s">
        <v>110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68" t="str">
        <f>IF(NOT(ISBLANK('Midterm OVPAA-F-INS-055A RAW SC'!G19)),'Midterm OVPAA-F-INS-055A RAW SC'!G19,"")</f>
        <v>Añonuevo, Thomas Franz</v>
      </c>
      <c r="D14" s="259"/>
      <c r="E14" s="269"/>
      <c r="F14" s="270">
        <f>'MidTerm OVPAA-F-INS-055B CLASS'!BV19</f>
        <v>1.75</v>
      </c>
      <c r="G14" s="269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1.75</v>
      </c>
      <c r="K14" s="195">
        <f>'Finalterm OVPAA-F-INS-055B CLAS'!BV19</f>
        <v>1</v>
      </c>
      <c r="L14" s="195">
        <f>'Finalterm OVPAA-F-INS-055B CLAS'!CR19</f>
        <v>1</v>
      </c>
      <c r="M14" s="195">
        <f>'Finalterm OVPAA-F-INS-055B CLAS'!DD19</f>
        <v>1.5</v>
      </c>
      <c r="N14" s="195" t="str">
        <f>'Finalterm OVPAA-F-INS-055B CLAS'!DI19</f>
        <v>1.25</v>
      </c>
      <c r="O14" s="195" t="str">
        <f t="shared" si="0"/>
        <v>1.75</v>
      </c>
      <c r="P14" s="195" t="str">
        <f t="shared" si="1"/>
        <v>1.25</v>
      </c>
      <c r="Q14" s="195" t="str">
        <f t="shared" si="2"/>
        <v>1.50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8" t="str">
        <f>IF(NOT(ISBLANK('Midterm OVPAA-F-INS-055A RAW SC'!G20)),'Midterm OVPAA-F-INS-055A RAW SC'!G20,"")</f>
        <v>Cabuco, Dean Krist A.</v>
      </c>
      <c r="D15" s="259"/>
      <c r="E15" s="269"/>
      <c r="F15" s="270">
        <f>'MidTerm OVPAA-F-INS-055B CLASS'!BV20</f>
        <v>1.25</v>
      </c>
      <c r="G15" s="269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1.25</v>
      </c>
      <c r="K15" s="195">
        <f>'Finalterm OVPAA-F-INS-055B CLAS'!BV20</f>
        <v>1.25</v>
      </c>
      <c r="L15" s="195">
        <f>'Finalterm OVPAA-F-INS-055B CLAS'!CR20</f>
        <v>1.75</v>
      </c>
      <c r="M15" s="195">
        <f>'Finalterm OVPAA-F-INS-055B CLAS'!DD20</f>
        <v>1.75</v>
      </c>
      <c r="N15" s="195" t="str">
        <f>'Finalterm OVPAA-F-INS-055B CLAS'!DI20</f>
        <v>1.50</v>
      </c>
      <c r="O15" s="195" t="str">
        <f t="shared" si="0"/>
        <v>1.25</v>
      </c>
      <c r="P15" s="195" t="str">
        <f t="shared" si="1"/>
        <v>1.50</v>
      </c>
      <c r="Q15" s="195" t="str">
        <f t="shared" si="2"/>
        <v>1.50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8" t="str">
        <f>IF(NOT(ISBLANK('Midterm OVPAA-F-INS-055A RAW SC'!G21)),'Midterm OVPAA-F-INS-055A RAW SC'!G21,"")</f>
        <v>De Guzman, Jim Dale Manong</v>
      </c>
      <c r="D16" s="259"/>
      <c r="E16" s="269"/>
      <c r="F16" s="270">
        <f>'MidTerm OVPAA-F-INS-055B CLASS'!BV21</f>
        <v>3.25</v>
      </c>
      <c r="G16" s="269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2.50</v>
      </c>
      <c r="K16" s="195">
        <f>'Finalterm OVPAA-F-INS-055B CLAS'!BV21</f>
        <v>1.25</v>
      </c>
      <c r="L16" s="195">
        <f>'Finalterm OVPAA-F-INS-055B CLAS'!CR21</f>
        <v>1.25</v>
      </c>
      <c r="M16" s="195">
        <f>'Finalterm OVPAA-F-INS-055B CLAS'!DD21</f>
        <v>2.5</v>
      </c>
      <c r="N16" s="195" t="str">
        <f>'Finalterm OVPAA-F-INS-055B CLAS'!DI21</f>
        <v>1.75</v>
      </c>
      <c r="O16" s="195" t="str">
        <f t="shared" si="0"/>
        <v>2.50</v>
      </c>
      <c r="P16" s="195" t="str">
        <f t="shared" si="1"/>
        <v>1.75</v>
      </c>
      <c r="Q16" s="195" t="str">
        <f t="shared" si="2"/>
        <v>2.00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8" t="str">
        <f>IF(NOT(ISBLANK('Midterm OVPAA-F-INS-055A RAW SC'!G22)),'Midterm OVPAA-F-INS-055A RAW SC'!G22,"")</f>
        <v>Dela Cerna, Johann Derek Javier</v>
      </c>
      <c r="D17" s="259"/>
      <c r="E17" s="269"/>
      <c r="F17" s="270">
        <f>'MidTerm OVPAA-F-INS-055B CLASS'!BV22</f>
        <v>1.75</v>
      </c>
      <c r="G17" s="269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1</v>
      </c>
      <c r="L17" s="195">
        <f>'Finalterm OVPAA-F-INS-055B CLAS'!CR22</f>
        <v>1</v>
      </c>
      <c r="M17" s="195">
        <f>'Finalterm OVPAA-F-INS-055B CLAS'!DD22</f>
        <v>1.5</v>
      </c>
      <c r="N17" s="195" t="str">
        <f>'Finalterm OVPAA-F-INS-055B CLAS'!DI22</f>
        <v>1.25</v>
      </c>
      <c r="O17" s="195" t="str">
        <f t="shared" si="0"/>
        <v>1.75</v>
      </c>
      <c r="P17" s="195" t="str">
        <f t="shared" si="1"/>
        <v>1.25</v>
      </c>
      <c r="Q17" s="195" t="str">
        <f t="shared" si="2"/>
        <v>1.50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8" t="str">
        <f>IF(NOT(ISBLANK('Midterm OVPAA-F-INS-055A RAW SC'!G23)),'Midterm OVPAA-F-INS-055A RAW SC'!G23,"")</f>
        <v>Delfin, Kyle Arnie Jopson</v>
      </c>
      <c r="D18" s="259"/>
      <c r="E18" s="269"/>
      <c r="F18" s="270">
        <f>'MidTerm OVPAA-F-INS-055B CLASS'!BV23</f>
        <v>1.5</v>
      </c>
      <c r="G18" s="269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1.50</v>
      </c>
      <c r="K18" s="195">
        <f>'Finalterm OVPAA-F-INS-055B CLAS'!BV23</f>
        <v>1.25</v>
      </c>
      <c r="L18" s="195">
        <f>'Finalterm OVPAA-F-INS-055B CLAS'!CR23</f>
        <v>2.5</v>
      </c>
      <c r="M18" s="195">
        <f>'Finalterm OVPAA-F-INS-055B CLAS'!DD23</f>
        <v>1.25</v>
      </c>
      <c r="N18" s="195" t="str">
        <f>'Finalterm OVPAA-F-INS-055B CLAS'!DI23</f>
        <v>1.50</v>
      </c>
      <c r="O18" s="195" t="str">
        <f t="shared" si="0"/>
        <v>1.50</v>
      </c>
      <c r="P18" s="195" t="str">
        <f t="shared" si="1"/>
        <v>1.50</v>
      </c>
      <c r="Q18" s="195" t="str">
        <f t="shared" si="2"/>
        <v>1.50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8" t="str">
        <f>IF(NOT(ISBLANK('Midterm OVPAA-F-INS-055A RAW SC'!G24)),'Midterm OVPAA-F-INS-055A RAW SC'!G24,"")</f>
        <v>Gumapac, Jannerie</v>
      </c>
      <c r="D19" s="259"/>
      <c r="E19" s="269"/>
      <c r="F19" s="270">
        <f>'MidTerm OVPAA-F-INS-055B CLASS'!BV24</f>
        <v>2</v>
      </c>
      <c r="G19" s="269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2.00</v>
      </c>
      <c r="K19" s="195">
        <f>'Finalterm OVPAA-F-INS-055B CLAS'!BV24</f>
        <v>1.25</v>
      </c>
      <c r="L19" s="195">
        <f>'Finalterm OVPAA-F-INS-055B CLAS'!CR24</f>
        <v>2.75</v>
      </c>
      <c r="M19" s="195">
        <f>'Finalterm OVPAA-F-INS-055B CLAS'!DD24</f>
        <v>2</v>
      </c>
      <c r="N19" s="195" t="str">
        <f>'Finalterm OVPAA-F-INS-055B CLAS'!DI24</f>
        <v>2.00</v>
      </c>
      <c r="O19" s="195" t="str">
        <f t="shared" si="0"/>
        <v>2.00</v>
      </c>
      <c r="P19" s="195" t="str">
        <f t="shared" si="1"/>
        <v>2.00</v>
      </c>
      <c r="Q19" s="195" t="str">
        <f t="shared" si="2"/>
        <v>2.00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8" t="str">
        <f>IF(NOT(ISBLANK('Midterm OVPAA-F-INS-055A RAW SC'!G25)),'Midterm OVPAA-F-INS-055A RAW SC'!G25,"")</f>
        <v>Lantinay, Pol Edison</v>
      </c>
      <c r="D20" s="259"/>
      <c r="E20" s="269"/>
      <c r="F20" s="270">
        <f>'MidTerm OVPAA-F-INS-055B CLASS'!BV25</f>
        <v>1.5</v>
      </c>
      <c r="G20" s="269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1.50</v>
      </c>
      <c r="K20" s="195">
        <f>'Finalterm OVPAA-F-INS-055B CLAS'!BV25</f>
        <v>1.25</v>
      </c>
      <c r="L20" s="195">
        <f>'Finalterm OVPAA-F-INS-055B CLAS'!CR25</f>
        <v>2.5</v>
      </c>
      <c r="M20" s="195">
        <f>'Finalterm OVPAA-F-INS-055B CLAS'!DD25</f>
        <v>1.25</v>
      </c>
      <c r="N20" s="195" t="str">
        <f>'Finalterm OVPAA-F-INS-055B CLAS'!DI25</f>
        <v>1.50</v>
      </c>
      <c r="O20" s="195" t="str">
        <f t="shared" si="0"/>
        <v>1.50</v>
      </c>
      <c r="P20" s="195" t="str">
        <f t="shared" si="1"/>
        <v>1.50</v>
      </c>
      <c r="Q20" s="195" t="str">
        <f t="shared" si="2"/>
        <v>1.50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8" t="str">
        <f>IF(NOT(ISBLANK('Midterm OVPAA-F-INS-055A RAW SC'!G26)),'Midterm OVPAA-F-INS-055A RAW SC'!G26,"")</f>
        <v>Lintawahan, Maria Elisabeth</v>
      </c>
      <c r="D21" s="259"/>
      <c r="E21" s="269"/>
      <c r="F21" s="270">
        <f>'MidTerm OVPAA-F-INS-055B CLASS'!BV26</f>
        <v>3.5</v>
      </c>
      <c r="G21" s="269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1.25</v>
      </c>
      <c r="L21" s="195">
        <f>'Finalterm OVPAA-F-INS-055B CLAS'!CR26</f>
        <v>1.25</v>
      </c>
      <c r="M21" s="195">
        <f>'Finalterm OVPAA-F-INS-055B CLAS'!DD26</f>
        <v>2.5</v>
      </c>
      <c r="N21" s="195" t="str">
        <f>'Finalterm OVPAA-F-INS-055B CLAS'!DI26</f>
        <v>1.75</v>
      </c>
      <c r="O21" s="195" t="str">
        <f t="shared" si="0"/>
        <v>2.25</v>
      </c>
      <c r="P21" s="195" t="str">
        <f t="shared" si="1"/>
        <v>1.75</v>
      </c>
      <c r="Q21" s="195" t="str">
        <f t="shared" si="2"/>
        <v>2.00</v>
      </c>
      <c r="R21" s="196" t="s">
        <v>110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8" t="str">
        <f>IF(NOT(ISBLANK('Midterm OVPAA-F-INS-055A RAW SC'!G27)),'Midterm OVPAA-F-INS-055A RAW SC'!G27,"")</f>
        <v>Lisondra, Christian Earl</v>
      </c>
      <c r="D22" s="259"/>
      <c r="E22" s="269"/>
      <c r="F22" s="270">
        <f>'MidTerm OVPAA-F-INS-055B CLASS'!BV27</f>
        <v>2.25</v>
      </c>
      <c r="G22" s="269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8" t="str">
        <f>IF(NOT(ISBLANK('Midterm OVPAA-F-INS-055A RAW SC'!G28)),'Midterm OVPAA-F-INS-055A RAW SC'!G28,"")</f>
        <v>Magante, Jerson</v>
      </c>
      <c r="D23" s="259"/>
      <c r="E23" s="269"/>
      <c r="F23" s="270">
        <f>'MidTerm OVPAA-F-INS-055B CLASS'!BV28</f>
        <v>3.25</v>
      </c>
      <c r="G23" s="269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8" t="str">
        <f>IF(NOT(ISBLANK('Midterm OVPAA-F-INS-055A RAW SC'!G29)),'Midterm OVPAA-F-INS-055A RAW SC'!G29,"")</f>
        <v>Maraon, EJ Kate</v>
      </c>
      <c r="D24" s="259"/>
      <c r="E24" s="269"/>
      <c r="F24" s="270">
        <f>'MidTerm OVPAA-F-INS-055B CLASS'!BV29</f>
        <v>2</v>
      </c>
      <c r="G24" s="269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8" t="str">
        <f>IF(NOT(ISBLANK('Midterm OVPAA-F-INS-055A RAW SC'!G30)),'Midterm OVPAA-F-INS-055A RAW SC'!G30,"")</f>
        <v>Melendez, Jeter Giambi</v>
      </c>
      <c r="D25" s="259"/>
      <c r="E25" s="269"/>
      <c r="F25" s="270">
        <f>'MidTerm OVPAA-F-INS-055B CLASS'!BV30</f>
        <v>1.75</v>
      </c>
      <c r="G25" s="269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8" t="str">
        <f>IF(NOT(ISBLANK('Midterm OVPAA-F-INS-055A RAW SC'!G31)),'Midterm OVPAA-F-INS-055A RAW SC'!G31,"")</f>
        <v>Merina, Meljon G.</v>
      </c>
      <c r="D26" s="259"/>
      <c r="E26" s="269"/>
      <c r="F26" s="270">
        <f>'MidTerm OVPAA-F-INS-055B CLASS'!BV31</f>
        <v>1.25</v>
      </c>
      <c r="G26" s="269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8" t="str">
        <f>IF(NOT(ISBLANK('Midterm OVPAA-F-INS-055A RAW SC'!G32)),'Midterm OVPAA-F-INS-055A RAW SC'!G32,"")</f>
        <v>Neri, Jaira Greist</v>
      </c>
      <c r="D27" s="259"/>
      <c r="E27" s="269"/>
      <c r="F27" s="270">
        <f>'MidTerm OVPAA-F-INS-055B CLASS'!BV32</f>
        <v>1.25</v>
      </c>
      <c r="G27" s="269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8" t="str">
        <f>IF(NOT(ISBLANK('Midterm OVPAA-F-INS-055A RAW SC'!G33)),'Midterm OVPAA-F-INS-055A RAW SC'!G33,"")</f>
        <v>Noval, Miky</v>
      </c>
      <c r="D28" s="259"/>
      <c r="E28" s="269"/>
      <c r="F28" s="270">
        <f>'MidTerm OVPAA-F-INS-055B CLASS'!BV33</f>
        <v>2</v>
      </c>
      <c r="G28" s="269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2.00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2.00</v>
      </c>
      <c r="P28" s="195" t="str">
        <f t="shared" si="1"/>
        <v>1.75</v>
      </c>
      <c r="Q28" s="195" t="str">
        <f t="shared" si="2"/>
        <v>1.75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8" t="str">
        <f>IF(NOT(ISBLANK('Midterm OVPAA-F-INS-055A RAW SC'!G34)),'Midterm OVPAA-F-INS-055A RAW SC'!G34,"")</f>
        <v>Nuer, Jaymarc</v>
      </c>
      <c r="D29" s="259"/>
      <c r="E29" s="269"/>
      <c r="F29" s="270">
        <f>'MidTerm OVPAA-F-INS-055B CLASS'!BV34</f>
        <v>3.25</v>
      </c>
      <c r="G29" s="269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8" t="str">
        <f>IF(NOT(ISBLANK('Midterm OVPAA-F-INS-055A RAW SC'!G35)),'Midterm OVPAA-F-INS-055A RAW SC'!G35,"")</f>
        <v>Publico, Rogelio</v>
      </c>
      <c r="D30" s="259"/>
      <c r="E30" s="269"/>
      <c r="F30" s="270">
        <f>'MidTerm OVPAA-F-INS-055B CLASS'!BV35</f>
        <v>1.5</v>
      </c>
      <c r="G30" s="269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8" t="str">
        <f>IF(NOT(ISBLANK('Midterm OVPAA-F-INS-055A RAW SC'!G36)),'Midterm OVPAA-F-INS-055A RAW SC'!G36,"")</f>
        <v>Rivera, Juvel</v>
      </c>
      <c r="D31" s="259"/>
      <c r="E31" s="269"/>
      <c r="F31" s="270">
        <f>'MidTerm OVPAA-F-INS-055B CLASS'!BV36</f>
        <v>2.75</v>
      </c>
      <c r="G31" s="269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8" t="str">
        <f>IF(NOT(ISBLANK('Midterm OVPAA-F-INS-055A RAW SC'!G37)),'Midterm OVPAA-F-INS-055A RAW SC'!G37,"")</f>
        <v>Rubio, Pia Pilar</v>
      </c>
      <c r="D32" s="259"/>
      <c r="E32" s="269"/>
      <c r="F32" s="270">
        <f>'MidTerm OVPAA-F-INS-055B CLASS'!BV37</f>
        <v>1.75</v>
      </c>
      <c r="G32" s="269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8" t="str">
        <f>IF(NOT(ISBLANK('Midterm OVPAA-F-INS-055A RAW SC'!G38)),'Midterm OVPAA-F-INS-055A RAW SC'!G38,"")</f>
        <v>Salto, Mary Natalie</v>
      </c>
      <c r="D33" s="259"/>
      <c r="E33" s="269"/>
      <c r="F33" s="270">
        <f>'MidTerm OVPAA-F-INS-055B CLASS'!BV38</f>
        <v>1.25</v>
      </c>
      <c r="G33" s="269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8" t="str">
        <f>IF(NOT(ISBLANK('Midterm OVPAA-F-INS-055A RAW SC'!G39)),'Midterm OVPAA-F-INS-055A RAW SC'!G39,"")</f>
        <v>Tilanduca, Khiara</v>
      </c>
      <c r="D34" s="259"/>
      <c r="E34" s="269"/>
      <c r="F34" s="270">
        <f>'MidTerm OVPAA-F-INS-055B CLASS'!BV39</f>
        <v>1.25</v>
      </c>
      <c r="G34" s="269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8" t="str">
        <f>IF(NOT(ISBLANK('Midterm OVPAA-F-INS-055A RAW SC'!G40)),'Midterm OVPAA-F-INS-055A RAW SC'!G40,"")</f>
        <v>Valdez, John Winchel</v>
      </c>
      <c r="D35" s="259"/>
      <c r="E35" s="269"/>
      <c r="F35" s="270">
        <f>'MidTerm OVPAA-F-INS-055B CLASS'!BV40</f>
        <v>3</v>
      </c>
      <c r="G35" s="269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8" t="str">
        <f>IF(NOT(ISBLANK('Midterm OVPAA-F-INS-055A RAW SC'!G41)),'Midterm OVPAA-F-INS-055A RAW SC'!G41,"")</f>
        <v/>
      </c>
      <c r="D36" s="259"/>
      <c r="E36" s="269"/>
      <c r="F36" s="270" t="str">
        <f>'MidTerm OVPAA-F-INS-055B CLASS'!BV41</f>
        <v/>
      </c>
      <c r="G36" s="269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8" t="str">
        <f>IF(NOT(ISBLANK('Midterm OVPAA-F-INS-055A RAW SC'!G42)),'Midterm OVPAA-F-INS-055A RAW SC'!G42,"")</f>
        <v/>
      </c>
      <c r="D37" s="259"/>
      <c r="E37" s="269"/>
      <c r="F37" s="270" t="str">
        <f>'MidTerm OVPAA-F-INS-055B CLASS'!BV42</f>
        <v/>
      </c>
      <c r="G37" s="269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8" t="str">
        <f>IF(NOT(ISBLANK('Midterm OVPAA-F-INS-055A RAW SC'!G43)),'Midterm OVPAA-F-INS-055A RAW SC'!G43,"")</f>
        <v/>
      </c>
      <c r="D38" s="259"/>
      <c r="E38" s="269"/>
      <c r="F38" s="270" t="str">
        <f>'MidTerm OVPAA-F-INS-055B CLASS'!BV43</f>
        <v/>
      </c>
      <c r="G38" s="269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8" t="str">
        <f>IF(NOT(ISBLANK('Midterm OVPAA-F-INS-055A RAW SC'!G44)),'Midterm OVPAA-F-INS-055A RAW SC'!G44,"")</f>
        <v/>
      </c>
      <c r="D39" s="259"/>
      <c r="E39" s="269"/>
      <c r="F39" s="270" t="str">
        <f>'MidTerm OVPAA-F-INS-055B CLASS'!BV44</f>
        <v/>
      </c>
      <c r="G39" s="269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8" t="str">
        <f>IF(NOT(ISBLANK('Midterm OVPAA-F-INS-055A RAW SC'!G45)),'Midterm OVPAA-F-INS-055A RAW SC'!G45,"")</f>
        <v/>
      </c>
      <c r="D40" s="259"/>
      <c r="E40" s="269"/>
      <c r="F40" s="270" t="str">
        <f>'MidTerm OVPAA-F-INS-055B CLASS'!BV45</f>
        <v/>
      </c>
      <c r="G40" s="269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8" t="str">
        <f>IF(NOT(ISBLANK('Midterm OVPAA-F-INS-055A RAW SC'!G46)),'Midterm OVPAA-F-INS-055A RAW SC'!G46,"")</f>
        <v/>
      </c>
      <c r="D41" s="259"/>
      <c r="E41" s="269"/>
      <c r="F41" s="270" t="str">
        <f>'MidTerm OVPAA-F-INS-055B CLASS'!BV46</f>
        <v/>
      </c>
      <c r="G41" s="269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8" t="str">
        <f>IF(NOT(ISBLANK('Midterm OVPAA-F-INS-055A RAW SC'!G47)),'Midterm OVPAA-F-INS-055A RAW SC'!G47,"")</f>
        <v/>
      </c>
      <c r="D42" s="259"/>
      <c r="E42" s="269"/>
      <c r="F42" s="270" t="str">
        <f>'MidTerm OVPAA-F-INS-055B CLASS'!BV47</f>
        <v/>
      </c>
      <c r="G42" s="269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8" t="str">
        <f>IF(NOT(ISBLANK('Midterm OVPAA-F-INS-055A RAW SC'!G48)),'Midterm OVPAA-F-INS-055A RAW SC'!G48,"")</f>
        <v/>
      </c>
      <c r="D43" s="259"/>
      <c r="E43" s="269"/>
      <c r="F43" s="270" t="str">
        <f>'MidTerm OVPAA-F-INS-055B CLASS'!BV48</f>
        <v/>
      </c>
      <c r="G43" s="269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8" t="str">
        <f>IF(NOT(ISBLANK('Midterm OVPAA-F-INS-055A RAW SC'!G49)),'Midterm OVPAA-F-INS-055A RAW SC'!G49,"")</f>
        <v/>
      </c>
      <c r="D44" s="259"/>
      <c r="E44" s="269"/>
      <c r="F44" s="270" t="str">
        <f>'MidTerm OVPAA-F-INS-055B CLASS'!BV49</f>
        <v/>
      </c>
      <c r="G44" s="269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8" t="str">
        <f>IF(NOT(ISBLANK('Midterm OVPAA-F-INS-055A RAW SC'!G50)),'Midterm OVPAA-F-INS-055A RAW SC'!G50,"")</f>
        <v/>
      </c>
      <c r="D45" s="259"/>
      <c r="E45" s="269"/>
      <c r="F45" s="270" t="str">
        <f>'MidTerm OVPAA-F-INS-055B CLASS'!BV50</f>
        <v/>
      </c>
      <c r="G45" s="269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8" t="str">
        <f>IF(NOT(ISBLANK('Midterm OVPAA-F-INS-055A RAW SC'!G51)),'Midterm OVPAA-F-INS-055A RAW SC'!G51,"")</f>
        <v/>
      </c>
      <c r="D46" s="259"/>
      <c r="E46" s="269"/>
      <c r="F46" s="270" t="str">
        <f>'MidTerm OVPAA-F-INS-055B CLASS'!BV51</f>
        <v/>
      </c>
      <c r="G46" s="269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8" t="str">
        <f>IF(NOT(ISBLANK('Midterm OVPAA-F-INS-055A RAW SC'!G52)),'Midterm OVPAA-F-INS-055A RAW SC'!G52,"")</f>
        <v/>
      </c>
      <c r="D47" s="259"/>
      <c r="E47" s="269"/>
      <c r="F47" s="270" t="str">
        <f>'MidTerm OVPAA-F-INS-055B CLASS'!BV52</f>
        <v/>
      </c>
      <c r="G47" s="269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8" t="str">
        <f>IF(NOT(ISBLANK('Midterm OVPAA-F-INS-055A RAW SC'!G53)),'Midterm OVPAA-F-INS-055A RAW SC'!G53,"")</f>
        <v/>
      </c>
      <c r="D48" s="259"/>
      <c r="E48" s="269"/>
      <c r="F48" s="270" t="str">
        <f>'MidTerm OVPAA-F-INS-055B CLASS'!BV53</f>
        <v/>
      </c>
      <c r="G48" s="269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8" t="str">
        <f>IF(NOT(ISBLANK('Midterm OVPAA-F-INS-055A RAW SC'!G54)),'Midterm OVPAA-F-INS-055A RAW SC'!G54,"")</f>
        <v/>
      </c>
      <c r="D49" s="259"/>
      <c r="E49" s="269"/>
      <c r="F49" s="270" t="str">
        <f>'MidTerm OVPAA-F-INS-055B CLASS'!BV54</f>
        <v/>
      </c>
      <c r="G49" s="269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8" t="str">
        <f>IF(NOT(ISBLANK('Midterm OVPAA-F-INS-055A RAW SC'!G55)),'Midterm OVPAA-F-INS-055A RAW SC'!G55,"")</f>
        <v/>
      </c>
      <c r="D50" s="259"/>
      <c r="E50" s="269"/>
      <c r="F50" s="270" t="str">
        <f>'MidTerm OVPAA-F-INS-055B CLASS'!BV55</f>
        <v/>
      </c>
      <c r="G50" s="269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8" t="str">
        <f>IF(NOT(ISBLANK('Midterm OVPAA-F-INS-055A RAW SC'!G56)),'Midterm OVPAA-F-INS-055A RAW SC'!G56,"")</f>
        <v/>
      </c>
      <c r="D51" s="259"/>
      <c r="E51" s="269"/>
      <c r="F51" s="270" t="str">
        <f>'MidTerm OVPAA-F-INS-055B CLASS'!BV56</f>
        <v/>
      </c>
      <c r="G51" s="269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8" t="str">
        <f>IF(NOT(ISBLANK('Midterm OVPAA-F-INS-055A RAW SC'!G57)),'Midterm OVPAA-F-INS-055A RAW SC'!G57,"")</f>
        <v/>
      </c>
      <c r="D52" s="259"/>
      <c r="E52" s="269"/>
      <c r="F52" s="270" t="str">
        <f>'MidTerm OVPAA-F-INS-055B CLASS'!BV57</f>
        <v/>
      </c>
      <c r="G52" s="269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8" t="str">
        <f>IF(NOT(ISBLANK('Midterm OVPAA-F-INS-055A RAW SC'!G58)),'Midterm OVPAA-F-INS-055A RAW SC'!G58,"")</f>
        <v/>
      </c>
      <c r="D53" s="259"/>
      <c r="E53" s="269"/>
      <c r="F53" s="270" t="str">
        <f>'MidTerm OVPAA-F-INS-055B CLASS'!BV58</f>
        <v/>
      </c>
      <c r="G53" s="269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8" t="str">
        <f>IF(NOT(ISBLANK('Midterm OVPAA-F-INS-055A RAW SC'!G59)),'Midterm OVPAA-F-INS-055A RAW SC'!G59,"")</f>
        <v/>
      </c>
      <c r="D54" s="259"/>
      <c r="E54" s="269"/>
      <c r="F54" s="270" t="str">
        <f>'MidTerm OVPAA-F-INS-055B CLASS'!BV59</f>
        <v/>
      </c>
      <c r="G54" s="269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8" t="str">
        <f>IF(NOT(ISBLANK('Midterm OVPAA-F-INS-055A RAW SC'!G60)),'Midterm OVPAA-F-INS-055A RAW SC'!G60,"")</f>
        <v/>
      </c>
      <c r="D55" s="259"/>
      <c r="E55" s="269"/>
      <c r="F55" s="270" t="str">
        <f>'MidTerm OVPAA-F-INS-055B CLASS'!BV60</f>
        <v/>
      </c>
      <c r="G55" s="269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8" t="str">
        <f>IF(NOT(ISBLANK('Midterm OVPAA-F-INS-055A RAW SC'!G61)),'Midterm OVPAA-F-INS-055A RAW SC'!G61,"")</f>
        <v/>
      </c>
      <c r="D56" s="259"/>
      <c r="E56" s="269"/>
      <c r="F56" s="270" t="str">
        <f>'MidTerm OVPAA-F-INS-055B CLASS'!BV61</f>
        <v/>
      </c>
      <c r="G56" s="269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8" t="str">
        <f>IF(NOT(ISBLANK('Midterm OVPAA-F-INS-055A RAW SC'!G62)),'Midterm OVPAA-F-INS-055A RAW SC'!G62,"")</f>
        <v/>
      </c>
      <c r="D57" s="259"/>
      <c r="E57" s="269"/>
      <c r="F57" s="270" t="str">
        <f>'MidTerm OVPAA-F-INS-055B CLASS'!BV62</f>
        <v/>
      </c>
      <c r="G57" s="269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8" t="str">
        <f>IF(NOT(ISBLANK('Midterm OVPAA-F-INS-055A RAW SC'!G63)),'Midterm OVPAA-F-INS-055A RAW SC'!G63,"")</f>
        <v/>
      </c>
      <c r="D58" s="259"/>
      <c r="E58" s="269"/>
      <c r="F58" s="270" t="str">
        <f>'MidTerm OVPAA-F-INS-055B CLASS'!BV63</f>
        <v/>
      </c>
      <c r="G58" s="269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8" t="str">
        <f>IF(NOT(ISBLANK('Midterm OVPAA-F-INS-055A RAW SC'!G64)),'Midterm OVPAA-F-INS-055A RAW SC'!G64,"")</f>
        <v/>
      </c>
      <c r="D59" s="259"/>
      <c r="E59" s="269"/>
      <c r="F59" s="270" t="str">
        <f>'MidTerm OVPAA-F-INS-055B CLASS'!BV64</f>
        <v/>
      </c>
      <c r="G59" s="269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8" t="str">
        <f>IF(NOT(ISBLANK('Midterm OVPAA-F-INS-055A RAW SC'!G65)),'Midterm OVPAA-F-INS-055A RAW SC'!G65,"")</f>
        <v/>
      </c>
      <c r="D60" s="259"/>
      <c r="E60" s="269"/>
      <c r="F60" s="270" t="str">
        <f>'MidTerm OVPAA-F-INS-055B CLASS'!BV65</f>
        <v/>
      </c>
      <c r="G60" s="269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8" t="str">
        <f>IF(NOT(ISBLANK('Midterm OVPAA-F-INS-055A RAW SC'!G66)),'Midterm OVPAA-F-INS-055A RAW SC'!G66,"")</f>
        <v/>
      </c>
      <c r="D61" s="259"/>
      <c r="E61" s="269"/>
      <c r="F61" s="270" t="str">
        <f>'MidTerm OVPAA-F-INS-055B CLASS'!BV66</f>
        <v/>
      </c>
      <c r="G61" s="269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8" t="str">
        <f>IF(NOT(ISBLANK('Midterm OVPAA-F-INS-055A RAW SC'!G67)),'Midterm OVPAA-F-INS-055A RAW SC'!G67,"")</f>
        <v/>
      </c>
      <c r="D62" s="259"/>
      <c r="E62" s="269"/>
      <c r="F62" s="270" t="str">
        <f>'MidTerm OVPAA-F-INS-055B CLASS'!BV67</f>
        <v/>
      </c>
      <c r="G62" s="269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8" t="str">
        <f>IF(NOT(ISBLANK('Midterm OVPAA-F-INS-055A RAW SC'!G68)),'Midterm OVPAA-F-INS-055A RAW SC'!G68,"")</f>
        <v/>
      </c>
      <c r="D63" s="259"/>
      <c r="E63" s="269"/>
      <c r="F63" s="270" t="str">
        <f>'MidTerm OVPAA-F-INS-055B CLASS'!BV68</f>
        <v/>
      </c>
      <c r="G63" s="269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8" t="str">
        <f>IF(NOT(ISBLANK('Midterm OVPAA-F-INS-055A RAW SC'!G69)),'Midterm OVPAA-F-INS-055A RAW SC'!G69,"")</f>
        <v/>
      </c>
      <c r="D64" s="259"/>
      <c r="E64" s="269"/>
      <c r="F64" s="270" t="str">
        <f>'MidTerm OVPAA-F-INS-055B CLASS'!BV69</f>
        <v/>
      </c>
      <c r="G64" s="269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8" t="str">
        <f>IF(NOT(ISBLANK('Midterm OVPAA-F-INS-055A RAW SC'!G70)),'Midterm OVPAA-F-INS-055A RAW SC'!G70,"")</f>
        <v/>
      </c>
      <c r="D65" s="259"/>
      <c r="E65" s="269"/>
      <c r="F65" s="270" t="str">
        <f>'MidTerm OVPAA-F-INS-055B CLASS'!BV70</f>
        <v/>
      </c>
      <c r="G65" s="269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8" t="str">
        <f>IF(NOT(ISBLANK('Midterm OVPAA-F-INS-055A RAW SC'!G71)),'Midterm OVPAA-F-INS-055A RAW SC'!G71,"")</f>
        <v/>
      </c>
      <c r="D66" s="259"/>
      <c r="E66" s="269"/>
      <c r="F66" s="270" t="str">
        <f>'MidTerm OVPAA-F-INS-055B CLASS'!BV71</f>
        <v/>
      </c>
      <c r="G66" s="269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8" t="str">
        <f>IF(NOT(ISBLANK('Midterm OVPAA-F-INS-055A RAW SC'!G72)),'Midterm OVPAA-F-INS-055A RAW SC'!G72,"")</f>
        <v/>
      </c>
      <c r="D67" s="259"/>
      <c r="E67" s="269"/>
      <c r="F67" s="270" t="str">
        <f>'MidTerm OVPAA-F-INS-055B CLASS'!BV72</f>
        <v/>
      </c>
      <c r="G67" s="269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8" t="str">
        <f>IF(NOT(ISBLANK('Midterm OVPAA-F-INS-055A RAW SC'!G73)),'Midterm OVPAA-F-INS-055A RAW SC'!G73,"")</f>
        <v/>
      </c>
      <c r="D68" s="259"/>
      <c r="E68" s="269"/>
      <c r="F68" s="270" t="str">
        <f>'MidTerm OVPAA-F-INS-055B CLASS'!BV73</f>
        <v/>
      </c>
      <c r="G68" s="269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8" t="str">
        <f>IF(NOT(ISBLANK('Midterm OVPAA-F-INS-055A RAW SC'!G74)),'Midterm OVPAA-F-INS-055A RAW SC'!G74,"")</f>
        <v/>
      </c>
      <c r="D69" s="259"/>
      <c r="E69" s="269"/>
      <c r="F69" s="270" t="str">
        <f>'MidTerm OVPAA-F-INS-055B CLASS'!BV74</f>
        <v/>
      </c>
      <c r="G69" s="269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8" t="str">
        <f>IF(NOT(ISBLANK('Midterm OVPAA-F-INS-055A RAW SC'!G75)),'Midterm OVPAA-F-INS-055A RAW SC'!G75,"")</f>
        <v/>
      </c>
      <c r="D70" s="259"/>
      <c r="E70" s="269"/>
      <c r="F70" s="270" t="str">
        <f>'MidTerm OVPAA-F-INS-055B CLASS'!BV75</f>
        <v/>
      </c>
      <c r="G70" s="269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8" t="str">
        <f>IF(NOT(ISBLANK('Midterm OVPAA-F-INS-055A RAW SC'!G76)),'Midterm OVPAA-F-INS-055A RAW SC'!G76,"")</f>
        <v/>
      </c>
      <c r="D71" s="259"/>
      <c r="E71" s="269"/>
      <c r="F71" s="270" t="str">
        <f>'MidTerm OVPAA-F-INS-055B CLASS'!BV76</f>
        <v/>
      </c>
      <c r="G71" s="269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8" t="str">
        <f>IF(NOT(ISBLANK('Midterm OVPAA-F-INS-055A RAW SC'!G77)),'Midterm OVPAA-F-INS-055A RAW SC'!G77,"")</f>
        <v/>
      </c>
      <c r="D72" s="259"/>
      <c r="E72" s="269"/>
      <c r="F72" s="270" t="str">
        <f>'MidTerm OVPAA-F-INS-055B CLASS'!BV77</f>
        <v/>
      </c>
      <c r="G72" s="269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8" t="str">
        <f>IF(NOT(ISBLANK('Midterm OVPAA-F-INS-055A RAW SC'!G78)),'Midterm OVPAA-F-INS-055A RAW SC'!G78,"")</f>
        <v/>
      </c>
      <c r="D73" s="259"/>
      <c r="E73" s="269"/>
      <c r="F73" s="270" t="str">
        <f>'MidTerm OVPAA-F-INS-055B CLASS'!BV78</f>
        <v/>
      </c>
      <c r="G73" s="269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8" t="str">
        <f>IF(NOT(ISBLANK('Midterm OVPAA-F-INS-055A RAW SC'!G79)),'Midterm OVPAA-F-INS-055A RAW SC'!G79,"")</f>
        <v/>
      </c>
      <c r="D74" s="259"/>
      <c r="E74" s="269"/>
      <c r="F74" s="270" t="str">
        <f>'MidTerm OVPAA-F-INS-055B CLASS'!BV79</f>
        <v/>
      </c>
      <c r="G74" s="269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8" t="str">
        <f>IF(NOT(ISBLANK('Midterm OVPAA-F-INS-055A RAW SC'!G80)),'Midterm OVPAA-F-INS-055A RAW SC'!G80,"")</f>
        <v/>
      </c>
      <c r="D75" s="259"/>
      <c r="E75" s="269"/>
      <c r="F75" s="270" t="str">
        <f>'MidTerm OVPAA-F-INS-055B CLASS'!BV80</f>
        <v/>
      </c>
      <c r="G75" s="269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8" t="str">
        <f>IF(NOT(ISBLANK('Midterm OVPAA-F-INS-055A RAW SC'!G81)),'Midterm OVPAA-F-INS-055A RAW SC'!G81,"")</f>
        <v/>
      </c>
      <c r="D76" s="259"/>
      <c r="E76" s="269"/>
      <c r="F76" s="270" t="str">
        <f>'MidTerm OVPAA-F-INS-055B CLASS'!BV81</f>
        <v/>
      </c>
      <c r="G76" s="269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8" t="str">
        <f>IF(NOT(ISBLANK('Midterm OVPAA-F-INS-055A RAW SC'!G82)),'Midterm OVPAA-F-INS-055A RAW SC'!G82,"")</f>
        <v/>
      </c>
      <c r="D77" s="259"/>
      <c r="E77" s="269"/>
      <c r="F77" s="270" t="str">
        <f>'MidTerm OVPAA-F-INS-055B CLASS'!BV82</f>
        <v/>
      </c>
      <c r="G77" s="269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8" t="str">
        <f>IF(NOT(ISBLANK('Midterm OVPAA-F-INS-055A RAW SC'!G83)),'Midterm OVPAA-F-INS-055A RAW SC'!G83,"")</f>
        <v/>
      </c>
      <c r="D78" s="259"/>
      <c r="E78" s="269"/>
      <c r="F78" s="270" t="str">
        <f>'MidTerm OVPAA-F-INS-055B CLASS'!BV83</f>
        <v/>
      </c>
      <c r="G78" s="269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8" t="str">
        <f>IF(NOT(ISBLANK('Midterm OVPAA-F-INS-055A RAW SC'!G84)),'Midterm OVPAA-F-INS-055A RAW SC'!G84,"")</f>
        <v/>
      </c>
      <c r="D79" s="259"/>
      <c r="E79" s="269"/>
      <c r="F79" s="270" t="str">
        <f>'MidTerm OVPAA-F-INS-055B CLASS'!BV84</f>
        <v/>
      </c>
      <c r="G79" s="269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8" t="str">
        <f>IF(NOT(ISBLANK('Midterm OVPAA-F-INS-055A RAW SC'!G85)),'Midterm OVPAA-F-INS-055A RAW SC'!G85,"")</f>
        <v/>
      </c>
      <c r="D80" s="259"/>
      <c r="E80" s="269"/>
      <c r="F80" s="270" t="str">
        <f>'MidTerm OVPAA-F-INS-055B CLASS'!BV85</f>
        <v/>
      </c>
      <c r="G80" s="269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8" t="str">
        <f>IF(NOT(ISBLANK('Midterm OVPAA-F-INS-055A RAW SC'!G86)),'Midterm OVPAA-F-INS-055A RAW SC'!G86,"")</f>
        <v/>
      </c>
      <c r="D81" s="259"/>
      <c r="E81" s="269"/>
      <c r="F81" s="270" t="str">
        <f>'MidTerm OVPAA-F-INS-055B CLASS'!BV86</f>
        <v/>
      </c>
      <c r="G81" s="269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8" t="str">
        <f>IF(NOT(ISBLANK('Midterm OVPAA-F-INS-055A RAW SC'!G87)),'Midterm OVPAA-F-INS-055A RAW SC'!G87,"")</f>
        <v/>
      </c>
      <c r="D82" s="259"/>
      <c r="E82" s="269"/>
      <c r="F82" s="270" t="str">
        <f>'MidTerm OVPAA-F-INS-055B CLASS'!BV87</f>
        <v/>
      </c>
      <c r="G82" s="269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8" t="str">
        <f>IF(NOT(ISBLANK('Midterm OVPAA-F-INS-055A RAW SC'!G88)),'Midterm OVPAA-F-INS-055A RAW SC'!G88,"")</f>
        <v/>
      </c>
      <c r="D83" s="259"/>
      <c r="E83" s="269"/>
      <c r="F83" s="270" t="str">
        <f>'MidTerm OVPAA-F-INS-055B CLASS'!BV88</f>
        <v/>
      </c>
      <c r="G83" s="269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8" t="str">
        <f>IF(NOT(ISBLANK('Midterm OVPAA-F-INS-055A RAW SC'!G89)),'Midterm OVPAA-F-INS-055A RAW SC'!G89,"")</f>
        <v/>
      </c>
      <c r="D84" s="259"/>
      <c r="E84" s="269"/>
      <c r="F84" s="270" t="str">
        <f>'MidTerm OVPAA-F-INS-055B CLASS'!BV89</f>
        <v/>
      </c>
      <c r="G84" s="269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8" t="str">
        <f>IF(NOT(ISBLANK('Midterm OVPAA-F-INS-055A RAW SC'!G90)),'Midterm OVPAA-F-INS-055A RAW SC'!G90,"")</f>
        <v/>
      </c>
      <c r="D85" s="259"/>
      <c r="E85" s="269"/>
      <c r="F85" s="270" t="str">
        <f>'MidTerm OVPAA-F-INS-055B CLASS'!BV90</f>
        <v/>
      </c>
      <c r="G85" s="269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8" t="str">
        <f>IF(NOT(ISBLANK('Midterm OVPAA-F-INS-055A RAW SC'!G91)),'Midterm OVPAA-F-INS-055A RAW SC'!G91,"")</f>
        <v/>
      </c>
      <c r="D86" s="259"/>
      <c r="E86" s="269"/>
      <c r="F86" s="270" t="str">
        <f>'MidTerm OVPAA-F-INS-055B CLASS'!BV91</f>
        <v/>
      </c>
      <c r="G86" s="269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8" t="str">
        <f>IF(NOT(ISBLANK('Midterm OVPAA-F-INS-055A RAW SC'!G92)),'Midterm OVPAA-F-INS-055A RAW SC'!G92,"")</f>
        <v/>
      </c>
      <c r="D87" s="259"/>
      <c r="E87" s="269"/>
      <c r="F87" s="270" t="str">
        <f>'MidTerm OVPAA-F-INS-055B CLASS'!BV92</f>
        <v/>
      </c>
      <c r="G87" s="269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8" t="str">
        <f>IF(NOT(ISBLANK('Midterm OVPAA-F-INS-055A RAW SC'!G93)),'Midterm OVPAA-F-INS-055A RAW SC'!G93,"")</f>
        <v/>
      </c>
      <c r="D88" s="259"/>
      <c r="E88" s="269"/>
      <c r="F88" s="270" t="str">
        <f>'MidTerm OVPAA-F-INS-055B CLASS'!BV93</f>
        <v/>
      </c>
      <c r="G88" s="269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8" t="str">
        <f>IF(NOT(ISBLANK('Midterm OVPAA-F-INS-055A RAW SC'!G94)),'Midterm OVPAA-F-INS-055A RAW SC'!G94,"")</f>
        <v/>
      </c>
      <c r="D89" s="259"/>
      <c r="E89" s="269"/>
      <c r="F89" s="270" t="str">
        <f>'MidTerm OVPAA-F-INS-055B CLASS'!BV94</f>
        <v/>
      </c>
      <c r="G89" s="269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8" t="str">
        <f>IF(NOT(ISBLANK('Midterm OVPAA-F-INS-055A RAW SC'!G95)),'Midterm OVPAA-F-INS-055A RAW SC'!G95,"")</f>
        <v/>
      </c>
      <c r="D90" s="259"/>
      <c r="E90" s="269"/>
      <c r="F90" s="270" t="str">
        <f>'MidTerm OVPAA-F-INS-055B CLASS'!BV95</f>
        <v/>
      </c>
      <c r="G90" s="269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8" t="str">
        <f>IF(NOT(ISBLANK('Midterm OVPAA-F-INS-055A RAW SC'!G96)),'Midterm OVPAA-F-INS-055A RAW SC'!G96,"")</f>
        <v/>
      </c>
      <c r="D91" s="259"/>
      <c r="E91" s="269"/>
      <c r="F91" s="270" t="str">
        <f>'MidTerm OVPAA-F-INS-055B CLASS'!BV96</f>
        <v/>
      </c>
      <c r="G91" s="269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8" t="str">
        <f>IF(NOT(ISBLANK('Midterm OVPAA-F-INS-055A RAW SC'!G97)),'Midterm OVPAA-F-INS-055A RAW SC'!G97,"")</f>
        <v/>
      </c>
      <c r="D92" s="259"/>
      <c r="E92" s="269"/>
      <c r="F92" s="270" t="str">
        <f>'MidTerm OVPAA-F-INS-055B CLASS'!BV97</f>
        <v/>
      </c>
      <c r="G92" s="269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8" t="str">
        <f>IF(NOT(ISBLANK('Midterm OVPAA-F-INS-055A RAW SC'!G98)),'Midterm OVPAA-F-INS-055A RAW SC'!G98,"")</f>
        <v/>
      </c>
      <c r="D93" s="259"/>
      <c r="E93" s="269"/>
      <c r="F93" s="270" t="str">
        <f>'MidTerm OVPAA-F-INS-055B CLASS'!BV98</f>
        <v/>
      </c>
      <c r="G93" s="269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8" t="str">
        <f>IF(NOT(ISBLANK('Midterm OVPAA-F-INS-055A RAW SC'!G99)),'Midterm OVPAA-F-INS-055A RAW SC'!G99,"")</f>
        <v/>
      </c>
      <c r="D94" s="259"/>
      <c r="E94" s="269"/>
      <c r="F94" s="270" t="str">
        <f>'MidTerm OVPAA-F-INS-055B CLASS'!BV99</f>
        <v/>
      </c>
      <c r="G94" s="269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8" t="str">
        <f>IF(NOT(ISBLANK('Midterm OVPAA-F-INS-055A RAW SC'!G100)),'Midterm OVPAA-F-INS-055A RAW SC'!G100,"")</f>
        <v/>
      </c>
      <c r="D95" s="259"/>
      <c r="E95" s="269"/>
      <c r="F95" s="270" t="str">
        <f>'MidTerm OVPAA-F-INS-055B CLASS'!BV100</f>
        <v/>
      </c>
      <c r="G95" s="269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8" t="str">
        <f>IF(NOT(ISBLANK('Midterm OVPAA-F-INS-055A RAW SC'!G101)),'Midterm OVPAA-F-INS-055A RAW SC'!G101,"")</f>
        <v/>
      </c>
      <c r="D96" s="259"/>
      <c r="E96" s="269"/>
      <c r="F96" s="270" t="str">
        <f>'MidTerm OVPAA-F-INS-055B CLASS'!BV101</f>
        <v/>
      </c>
      <c r="G96" s="269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8" t="str">
        <f>IF(NOT(ISBLANK('Midterm OVPAA-F-INS-055A RAW SC'!G102)),'Midterm OVPAA-F-INS-055A RAW SC'!G102,"")</f>
        <v/>
      </c>
      <c r="D97" s="259"/>
      <c r="E97" s="269"/>
      <c r="F97" s="270" t="str">
        <f>'MidTerm OVPAA-F-INS-055B CLASS'!BV102</f>
        <v/>
      </c>
      <c r="G97" s="269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8" t="str">
        <f>IF(NOT(ISBLANK('Midterm OVPAA-F-INS-055A RAW SC'!G103)),'Midterm OVPAA-F-INS-055A RAW SC'!G103,"")</f>
        <v/>
      </c>
      <c r="D98" s="259"/>
      <c r="E98" s="269"/>
      <c r="F98" s="270" t="str">
        <f>'MidTerm OVPAA-F-INS-055B CLASS'!BV103</f>
        <v/>
      </c>
      <c r="G98" s="269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8" t="str">
        <f>IF(NOT(ISBLANK('Midterm OVPAA-F-INS-055A RAW SC'!G104)),'Midterm OVPAA-F-INS-055A RAW SC'!G104,"")</f>
        <v/>
      </c>
      <c r="D99" s="259"/>
      <c r="E99" s="269"/>
      <c r="F99" s="270" t="str">
        <f>'MidTerm OVPAA-F-INS-055B CLASS'!BV104</f>
        <v/>
      </c>
      <c r="G99" s="269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8" t="str">
        <f>IF(NOT(ISBLANK('Midterm OVPAA-F-INS-055A RAW SC'!G105)),'Midterm OVPAA-F-INS-055A RAW SC'!G105,"")</f>
        <v/>
      </c>
      <c r="D100" s="259"/>
      <c r="E100" s="269"/>
      <c r="F100" s="270" t="str">
        <f>'MidTerm OVPAA-F-INS-055B CLASS'!BV105</f>
        <v/>
      </c>
      <c r="G100" s="269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8" t="str">
        <f>IF(NOT(ISBLANK('Midterm OVPAA-F-INS-055A RAW SC'!G106)),'Midterm OVPAA-F-INS-055A RAW SC'!G106,"")</f>
        <v/>
      </c>
      <c r="D101" s="259"/>
      <c r="E101" s="269"/>
      <c r="F101" s="270" t="str">
        <f>'MidTerm OVPAA-F-INS-055B CLASS'!BV106</f>
        <v/>
      </c>
      <c r="G101" s="269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8" t="str">
        <f>IF(NOT(ISBLANK('Midterm OVPAA-F-INS-055A RAW SC'!G107)),'Midterm OVPAA-F-INS-055A RAW SC'!G107,"")</f>
        <v/>
      </c>
      <c r="D102" s="259"/>
      <c r="E102" s="269"/>
      <c r="F102" s="270" t="str">
        <f>'MidTerm OVPAA-F-INS-055B CLASS'!BV107</f>
        <v/>
      </c>
      <c r="G102" s="269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8" t="str">
        <f>IF(NOT(ISBLANK('Midterm OVPAA-F-INS-055A RAW SC'!G108)),'Midterm OVPAA-F-INS-055A RAW SC'!G108,"")</f>
        <v/>
      </c>
      <c r="D103" s="259"/>
      <c r="E103" s="269"/>
      <c r="F103" s="270" t="str">
        <f>'MidTerm OVPAA-F-INS-055B CLASS'!BV108</f>
        <v/>
      </c>
      <c r="G103" s="269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8" t="str">
        <f>IF(NOT(ISBLANK('Midterm OVPAA-F-INS-055A RAW SC'!G109)),'Midterm OVPAA-F-INS-055A RAW SC'!G109,"")</f>
        <v/>
      </c>
      <c r="D104" s="259"/>
      <c r="E104" s="269"/>
      <c r="F104" s="270" t="str">
        <f>'MidTerm OVPAA-F-INS-055B CLASS'!BV109</f>
        <v/>
      </c>
      <c r="G104" s="269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8" t="str">
        <f>IF(NOT(ISBLANK('Midterm OVPAA-F-INS-055A RAW SC'!G110)),'Midterm OVPAA-F-INS-055A RAW SC'!G110,"")</f>
        <v/>
      </c>
      <c r="D105" s="259"/>
      <c r="E105" s="269"/>
      <c r="F105" s="270" t="str">
        <f>'MidTerm OVPAA-F-INS-055B CLASS'!BV110</f>
        <v/>
      </c>
      <c r="G105" s="269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8" t="str">
        <f>IF(NOT(ISBLANK('Midterm OVPAA-F-INS-055A RAW SC'!G111)),'Midterm OVPAA-F-INS-055A RAW SC'!G111,"")</f>
        <v/>
      </c>
      <c r="D106" s="259"/>
      <c r="E106" s="269"/>
      <c r="F106" s="270" t="str">
        <f>'MidTerm OVPAA-F-INS-055B CLASS'!BV111</f>
        <v/>
      </c>
      <c r="G106" s="269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8" t="str">
        <f>IF(NOT(ISBLANK('Midterm OVPAA-F-INS-055A RAW SC'!G112)),'Midterm OVPAA-F-INS-055A RAW SC'!G112,"")</f>
        <v/>
      </c>
      <c r="D107" s="259"/>
      <c r="E107" s="269"/>
      <c r="F107" s="270" t="str">
        <f>'MidTerm OVPAA-F-INS-055B CLASS'!BV112</f>
        <v/>
      </c>
      <c r="G107" s="269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8" t="str">
        <f>IF(NOT(ISBLANK('Midterm OVPAA-F-INS-055A RAW SC'!G113)),'Midterm OVPAA-F-INS-055A RAW SC'!G113,"")</f>
        <v/>
      </c>
      <c r="D108" s="259"/>
      <c r="E108" s="269"/>
      <c r="F108" s="270" t="str">
        <f>'MidTerm OVPAA-F-INS-055B CLASS'!BV113</f>
        <v/>
      </c>
      <c r="G108" s="269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8" t="str">
        <f>IF(NOT(ISBLANK('Midterm OVPAA-F-INS-055A RAW SC'!G114)),'Midterm OVPAA-F-INS-055A RAW SC'!G114,"")</f>
        <v/>
      </c>
      <c r="D109" s="259"/>
      <c r="E109" s="269"/>
      <c r="F109" s="270" t="str">
        <f>'MidTerm OVPAA-F-INS-055B CLASS'!BV114</f>
        <v/>
      </c>
      <c r="G109" s="269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8" t="str">
        <f>IF(NOT(ISBLANK('Midterm OVPAA-F-INS-055A RAW SC'!G115)),'Midterm OVPAA-F-INS-055A RAW SC'!G115,"")</f>
        <v/>
      </c>
      <c r="D110" s="259"/>
      <c r="E110" s="269"/>
      <c r="F110" s="270" t="str">
        <f>'MidTerm OVPAA-F-INS-055B CLASS'!BV115</f>
        <v/>
      </c>
      <c r="G110" s="269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8" t="str">
        <f>IF(NOT(ISBLANK('Midterm OVPAA-F-INS-055A RAW SC'!G116)),'Midterm OVPAA-F-INS-055A RAW SC'!G116,"")</f>
        <v/>
      </c>
      <c r="D111" s="259"/>
      <c r="E111" s="269"/>
      <c r="F111" s="270" t="str">
        <f>'MidTerm OVPAA-F-INS-055B CLASS'!BV116</f>
        <v/>
      </c>
      <c r="G111" s="269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8" t="str">
        <f>IF(NOT(ISBLANK('Midterm OVPAA-F-INS-055A RAW SC'!G117)),'Midterm OVPAA-F-INS-055A RAW SC'!G117,"")</f>
        <v/>
      </c>
      <c r="D112" s="259"/>
      <c r="E112" s="269"/>
      <c r="F112" s="270" t="str">
        <f>'MidTerm OVPAA-F-INS-055B CLASS'!BV117</f>
        <v/>
      </c>
      <c r="G112" s="269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0" t="s">
        <v>111</v>
      </c>
      <c r="B114" s="240"/>
      <c r="C114" s="181"/>
      <c r="D114" s="181" t="s">
        <v>112</v>
      </c>
      <c r="E114" s="181"/>
      <c r="F114" s="280"/>
      <c r="G114" s="240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5" t="str">
        <f>'Midterm OVPAA-F-INS-055A RAW SC'!G12</f>
        <v>Czarissa Louise A. Navidad</v>
      </c>
      <c r="B117" s="240"/>
      <c r="C117" s="240"/>
      <c r="D117" s="265" t="str">
        <f>'Midterm OVPAA-F-INS-055A RAW SC'!K11</f>
        <v>Dr. Sales G. Aribe, Jr.</v>
      </c>
      <c r="E117" s="240"/>
      <c r="F117" s="240"/>
      <c r="G117" s="240"/>
      <c r="H117" s="200"/>
      <c r="I117" s="265" t="str">
        <f>'Midterm OVPAA-F-INS-055A RAW SC'!K12</f>
        <v>Dr. Marilou O. Espina</v>
      </c>
      <c r="J117" s="240"/>
      <c r="K117" s="240"/>
      <c r="L117" s="240"/>
      <c r="M117" s="240"/>
      <c r="N117" s="240"/>
      <c r="O117" s="240"/>
      <c r="P117" s="240"/>
      <c r="Q117" s="240"/>
      <c r="R117" s="240"/>
    </row>
    <row r="118" spans="1:33" ht="35.25" customHeight="1">
      <c r="A118" s="266" t="s">
        <v>114</v>
      </c>
      <c r="B118" s="240"/>
      <c r="C118" s="240"/>
      <c r="D118" s="266" t="str">
        <f>CONCATENATE("Department Head, ",'Midterm OVPAA-F-INS-055A RAW SC'!V10)</f>
        <v>Department Head, Information Technology</v>
      </c>
      <c r="E118" s="240"/>
      <c r="F118" s="240"/>
      <c r="G118" s="240"/>
      <c r="H118" s="201"/>
      <c r="I118" s="266" t="str">
        <f>CONCATENATE("Dean, ",'Midterm OVPAA-F-INS-055A RAW SC'!V11)</f>
        <v>Dean, College of Technologies</v>
      </c>
      <c r="J118" s="240"/>
      <c r="K118" s="240"/>
      <c r="L118" s="240"/>
      <c r="M118" s="240"/>
      <c r="N118" s="240"/>
      <c r="O118" s="240"/>
      <c r="P118" s="240"/>
      <c r="Q118" s="240"/>
      <c r="R118" s="240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7" t="s">
        <v>115</v>
      </c>
      <c r="B119" s="240"/>
      <c r="C119" s="240"/>
      <c r="D119" s="267" t="s">
        <v>115</v>
      </c>
      <c r="E119" s="240"/>
      <c r="F119" s="240"/>
      <c r="G119" s="203"/>
      <c r="H119" s="203"/>
      <c r="I119" s="267" t="s">
        <v>115</v>
      </c>
      <c r="J119" s="240"/>
      <c r="K119" s="240"/>
      <c r="L119" s="240"/>
      <c r="M119" s="240"/>
      <c r="N119" s="240"/>
      <c r="O119" s="240"/>
      <c r="P119" s="240"/>
      <c r="Q119" s="240"/>
      <c r="R119" s="240"/>
    </row>
    <row r="120" spans="1:33" ht="15.75" customHeight="1"/>
    <row r="121" spans="1:33" ht="15.75" customHeight="1">
      <c r="A121" s="278"/>
      <c r="B121" s="240"/>
      <c r="C121" s="240"/>
      <c r="D121" s="279"/>
      <c r="E121" s="240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/>
  <headerFooter>
    <oddFooter>&amp;LDocument Code: OVPAA-F-INS-056&amp;CRevision No.: 04                Issue Date: September 16, 2024&amp;R Page 1 of 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1" t="s">
        <v>127</v>
      </c>
      <c r="C1" s="240"/>
      <c r="D1" s="240"/>
      <c r="F1" s="281" t="s">
        <v>128</v>
      </c>
      <c r="G1" s="240"/>
      <c r="H1" s="240"/>
    </row>
    <row r="2" spans="2:8" ht="15" customHeight="1">
      <c r="B2" s="240"/>
      <c r="C2" s="240"/>
      <c r="D2" s="240"/>
      <c r="F2" s="240"/>
      <c r="G2" s="240"/>
      <c r="H2" s="240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2026-03-22T05:24:48Z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