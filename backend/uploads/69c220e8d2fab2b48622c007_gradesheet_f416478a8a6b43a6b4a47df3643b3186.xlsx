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7228183F-2CE0-41C6-9343-4E34F4C978D6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18" i="4" l="1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Q18" i="4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T18" i="2"/>
  <c r="CS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CQ18" i="2" s="1" a="1"/>
  <c r="CQ18" i="2" s="1"/>
  <c r="CR18" i="2" s="1"/>
  <c r="BW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DH18" i="2" s="1"/>
  <c r="DI18" i="2" s="1"/>
  <c r="J13" i="5" s="1"/>
  <c r="O13" i="5" s="1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9" i="4" l="1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Q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4" i="5" l="1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<sst xmlns="http://schemas.openxmlformats.org/spreadsheetml/2006/main" count="453" uniqueCount="134">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</sst>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0" xfId="0" applyFont="1"/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0" zoomScale="79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E3" s="229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E4" s="230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58" t="s">
        <v>3</v>
      </c>
      <c r="F7" s="222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6"/>
      <c r="T7" s="222"/>
      <c r="U7" s="222"/>
      <c r="V7" s="222"/>
      <c r="W7" s="222"/>
      <c r="X7" s="5"/>
      <c r="Y7" s="5"/>
      <c r="Z7" s="5"/>
      <c r="AA7" s="2"/>
      <c r="AB7" s="6"/>
      <c r="AC7" s="226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8" t="s">
        <v>7</v>
      </c>
      <c r="F8" s="222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6"/>
      <c r="T8" s="222"/>
      <c r="U8" s="222"/>
      <c r="V8" s="222"/>
      <c r="W8" s="222"/>
      <c r="X8" s="5"/>
      <c r="Y8" s="5"/>
      <c r="Z8" s="5"/>
      <c r="AA8" s="2"/>
      <c r="AB8" s="6"/>
      <c r="AC8" s="226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8" t="s">
        <v>11</v>
      </c>
      <c r="F9" s="222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6"/>
      <c r="T9" s="222"/>
      <c r="U9" s="222"/>
      <c r="V9" s="222"/>
      <c r="W9" s="222"/>
      <c r="X9" s="5"/>
      <c r="Y9" s="5"/>
      <c r="Z9" s="5"/>
      <c r="AA9" s="2"/>
      <c r="AB9" s="6"/>
      <c r="AC9" s="226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8" t="s">
        <v>15</v>
      </c>
      <c r="F10" s="222"/>
      <c r="G10" s="7" t="s">
        <v>16</v>
      </c>
      <c r="H10" s="5"/>
      <c r="I10" s="3" t="s">
        <v>17</v>
      </c>
      <c r="J10" s="5"/>
      <c r="K10" s="257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2"/>
      <c r="U10" s="222"/>
      <c r="V10" s="257" t="s">
        <v>19</v>
      </c>
      <c r="W10" s="256"/>
      <c r="X10" s="256"/>
      <c r="Y10" s="256"/>
      <c r="Z10" s="256"/>
      <c r="AA10" s="2"/>
      <c r="AB10" s="6"/>
      <c r="AC10" s="226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8" t="s">
        <v>20</v>
      </c>
      <c r="F11" s="222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2"/>
      <c r="U11" s="222"/>
      <c r="V11" s="262" t="s">
        <v>25</v>
      </c>
      <c r="W11" s="263"/>
      <c r="X11" s="263"/>
      <c r="Y11" s="263"/>
      <c r="Z11" s="263"/>
      <c r="AA11" s="2"/>
      <c r="AB11" s="227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1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4"/>
      <c r="G12" s="11" t="s">
        <v>27</v>
      </c>
      <c r="H12" s="5"/>
      <c r="I12" s="10" t="s">
        <v>28</v>
      </c>
      <c r="J12" s="11"/>
      <c r="K12" s="260" t="s">
        <v>29</v>
      </c>
      <c r="L12" s="224"/>
      <c r="M12" s="224"/>
      <c r="N12" s="224"/>
      <c r="O12" s="224"/>
      <c r="P12" s="2"/>
      <c r="Q12" s="2"/>
      <c r="R12" s="2"/>
      <c r="S12" s="12" t="s">
        <v>30</v>
      </c>
      <c r="T12" s="13"/>
      <c r="U12" s="13"/>
      <c r="V12" s="14">
        <v>0.5</v>
      </c>
      <c r="X12" s="225"/>
      <c r="Y12" s="224"/>
      <c r="Z12" s="11"/>
      <c r="AA12" s="16"/>
      <c r="AB12" s="264"/>
      <c r="AC12" s="224"/>
      <c r="AD12" s="22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5"/>
      <c r="BR12" s="22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40"/>
      <c r="BU14" s="242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42"/>
      <c r="CP14" s="224"/>
      <c r="CQ14" s="224"/>
      <c r="CR14" s="224"/>
      <c r="CS14" s="224"/>
      <c r="CT14" s="224"/>
      <c r="CU14" s="224"/>
      <c r="CV14" s="224"/>
      <c r="CW14" s="224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80</v>
      </c>
      <c r="I18" s="50">
        <v>94</v>
      </c>
      <c r="J18" s="50">
        <v>42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80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0">
        <v>92</v>
      </c>
      <c r="CP18" s="54">
        <v>38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DO16" zoomScale="72" workbookViewId="0">
      <selection activeCell="J33" sqref="J33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27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6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6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2"/>
      <c r="BN7" s="222"/>
      <c r="BO7" s="222"/>
      <c r="BP7" s="222"/>
      <c r="BQ7" s="5"/>
      <c r="BR7" s="5"/>
      <c r="BS7" s="5"/>
      <c r="BT7" s="2"/>
      <c r="BU7" s="6"/>
      <c r="BV7" s="226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2"/>
      <c r="DE7" s="222"/>
      <c r="DF7" s="222"/>
      <c r="DG7" s="222"/>
      <c r="DH7" s="5"/>
      <c r="DI7" s="5"/>
    </row>
    <row r="8" spans="5:113">
      <c r="E8" s="227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6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6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2"/>
      <c r="BN8" s="222"/>
      <c r="BO8" s="222"/>
      <c r="BP8" s="222"/>
      <c r="BQ8" s="5"/>
      <c r="BR8" s="5"/>
      <c r="BS8" s="5"/>
      <c r="BT8" s="2"/>
      <c r="BU8" s="6"/>
      <c r="BV8" s="226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2"/>
      <c r="DE8" s="222"/>
      <c r="DF8" s="222"/>
      <c r="DG8" s="222"/>
      <c r="DH8" s="5"/>
      <c r="DI8" s="5"/>
    </row>
    <row r="9" spans="5:113">
      <c r="E9" s="227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6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6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2"/>
      <c r="BN9" s="222"/>
      <c r="BO9" s="222"/>
      <c r="BP9" s="222"/>
      <c r="BQ9" s="5"/>
      <c r="BR9" s="5"/>
      <c r="BS9" s="5"/>
      <c r="BT9" s="2"/>
      <c r="BU9" s="6"/>
      <c r="BV9" s="226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2"/>
      <c r="DE9" s="222"/>
      <c r="DF9" s="222"/>
      <c r="DG9" s="222"/>
      <c r="DH9" s="5"/>
      <c r="DI9" s="5"/>
    </row>
    <row r="10" spans="5:113">
      <c r="E10" s="227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6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18</v>
      </c>
      <c r="T10" s="222"/>
      <c r="U10" s="222"/>
      <c r="V10" s="226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2"/>
      <c r="BN10" s="222"/>
      <c r="BO10" s="222"/>
      <c r="BP10" s="222"/>
      <c r="BQ10" s="5"/>
      <c r="BR10" s="5"/>
      <c r="BS10" s="5"/>
      <c r="BT10" s="2"/>
      <c r="BU10" s="6"/>
      <c r="BV10" s="226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2"/>
      <c r="DE10" s="222"/>
      <c r="DF10" s="222"/>
      <c r="DG10" s="222"/>
      <c r="DH10" s="5"/>
      <c r="DI10" s="5"/>
    </row>
    <row r="11" spans="5:113">
      <c r="E11" s="227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6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24</v>
      </c>
      <c r="T11" s="222"/>
      <c r="U11" s="222"/>
      <c r="V11" s="226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2"/>
      <c r="BN11" s="222"/>
      <c r="BO11" s="222"/>
      <c r="BP11" s="222"/>
      <c r="BQ11" s="221"/>
      <c r="BR11" s="222"/>
      <c r="BS11" s="5"/>
      <c r="BT11" s="2"/>
      <c r="BU11" s="6"/>
      <c r="BV11" s="226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2"/>
      <c r="DE11" s="222"/>
      <c r="DF11" s="222"/>
      <c r="DG11" s="222"/>
      <c r="DH11" s="221"/>
      <c r="DI11" s="222"/>
    </row>
    <row r="12" spans="5:113">
      <c r="E12" s="232" t="s">
        <v>26</v>
      </c>
      <c r="F12" s="224"/>
      <c r="G12" s="11" t="str">
        <f>'Midterm OVPAA-F-INS-055A RAW SC'!G12</f>
        <v>Czarissa Louise A. Navidad</v>
      </c>
      <c r="H12" s="2"/>
      <c r="I12" s="10" t="s">
        <v>28</v>
      </c>
      <c r="J12" s="11"/>
      <c r="K12" s="223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5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3"/>
      <c r="BM12" s="224"/>
      <c r="BN12" s="224"/>
      <c r="BO12" s="224"/>
      <c r="BP12" s="224"/>
      <c r="BQ12" s="225"/>
      <c r="BR12" s="224"/>
      <c r="BS12" s="11"/>
      <c r="BT12" s="16"/>
      <c r="BU12" s="76"/>
      <c r="BV12" s="223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5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23"/>
      <c r="DD12" s="224"/>
      <c r="DE12" s="224"/>
      <c r="DF12" s="224"/>
      <c r="DG12" s="224"/>
      <c r="DH12" s="225"/>
      <c r="DI12" s="224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40"/>
      <c r="BW14" s="242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40"/>
      <c r="CS14" s="242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f>IF('Midterm OVPAA-F-INS-055A RAW SC'!BU18="","",'Midterm OVPAA-F-INS-055A RAW SC'!BU18/'Midterm OVPAA-F-INS-055A RAW SC'!BU$17*100)</f>
        <v>80</v>
      </c>
      <c r="BX18" s="113">
        <f>IF('Midterm OVPAA-F-INS-055A RAW SC'!BV18="","",'Midterm OVPAA-F-INS-055A RAW SC'!BV18/'Midterm OVPAA-F-INS-055A RAW SC'!BV$17*100)</f>
        <v>100</v>
      </c>
      <c r="BY18" s="113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str">
        <f>IF('Midterm OVPAA-F-INS-055A RAW SC'!CN18="","",'Midterm OVPAA-F-INS-055A RAW SC'!CN18/'Midterm OVPAA-F-INS-055A RAW SC'!CN$17*100)</f>
        <v/>
      </c>
      <c r="CQ18" s="11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93.333333333333329</v>
      </c>
      <c r="CR18" s="116">
        <f>IF(CQ18="","",VLOOKUP(CQ18,IF('Midterm OVPAA-F-INS-055A RAW SC'!$V$12=0.5,TRANSMUTATION!$C$4:$D$17,TRANSMUTATION!$G$4:$H$17),2,TRUE))</f>
        <v>1.25</v>
      </c>
      <c r="CS18" s="117">
        <f>IF('Midterm OVPAA-F-INS-055A RAW SC'!CO18="","",'Midterm OVPAA-F-INS-055A RAW SC'!CO18/'Midterm OVPAA-F-INS-055A RAW SC'!CO$17*100)</f>
        <v>92</v>
      </c>
      <c r="CT18" s="117">
        <f>IF('Midterm OVPAA-F-INS-055A RAW SC'!CP18="","",'Midterm OVPAA-F-INS-055A RAW SC'!CP18/'Midterm OVPAA-F-INS-055A RAW SC'!CP$17*100)</f>
        <v>76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84</v>
      </c>
      <c r="DD18" s="119">
        <f>IF(DC18="","",VLOOKUP(DC18,IF('Midterm OVPAA-F-INS-055A RAW SC'!$V$12=0.5,TRANSMUTATION!$C$4:$D$17,TRANSMUTATION!$G$4:$H$17),2,TRUE))</f>
        <v>1.75</v>
      </c>
      <c r="DE18" s="120">
        <f t="shared" ref="DE18:DE117" si="1">IF(BV18="","",(BV18*DE$15))</f>
        <v>1.5</v>
      </c>
      <c r="DF18" s="121">
        <f t="shared" ref="DF18:DF117" si="2">IF(CR18="","",(CR18*DF$15))</f>
        <v>0.375</v>
      </c>
      <c r="DG18" s="122">
        <f t="shared" ref="DG18:DG117" si="3">IF(DD18="","",(DD18*DG$15))</f>
        <v>0.70000000000000007</v>
      </c>
      <c r="DH18" s="120">
        <f t="shared" ref="DH18:DH117" si="4">IF($DF$15="",IF(OR(DE18="",DG18="")=TRUE,"",(SUM(DE18:DG18))),IF(OR(DE18="",DF18="",DG18="")=TRUE,"",(SUM(DE18:DG18))))</f>
        <v>2.5750000000000002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2.50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1:F11"/>
    <mergeCell ref="K11:O11"/>
    <mergeCell ref="S11:U11"/>
    <mergeCell ref="V11:Z11"/>
    <mergeCell ref="BL11:BP11"/>
    <mergeCell ref="CP11:CS11"/>
    <mergeCell ref="DC11:DG11"/>
    <mergeCell ref="K9:O9"/>
    <mergeCell ref="BL10:BP10"/>
    <mergeCell ref="BV10:CO10"/>
    <mergeCell ref="DC10:DG10"/>
    <mergeCell ref="E9:F9"/>
    <mergeCell ref="S9:W9"/>
    <mergeCell ref="E10:F10"/>
    <mergeCell ref="K10:O10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4" workbookViewId="0">
      <selection activeCell="G18" sqref="G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27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6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6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2"/>
      <c r="BN7" s="222"/>
      <c r="BO7" s="222"/>
      <c r="BP7" s="222"/>
      <c r="BQ7" s="5"/>
      <c r="BR7" s="5"/>
      <c r="BS7" s="5"/>
      <c r="BT7" s="2"/>
      <c r="BU7" s="6"/>
      <c r="BV7" s="226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6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6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2"/>
      <c r="BN8" s="222"/>
      <c r="BO8" s="222"/>
      <c r="BP8" s="222"/>
      <c r="BQ8" s="5"/>
      <c r="BR8" s="5"/>
      <c r="BS8" s="5"/>
      <c r="BT8" s="2"/>
      <c r="BU8" s="6"/>
      <c r="BV8" s="226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6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6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2"/>
      <c r="BN9" s="222"/>
      <c r="BO9" s="222"/>
      <c r="BP9" s="222"/>
      <c r="BQ9" s="5"/>
      <c r="BR9" s="5"/>
      <c r="BS9" s="5"/>
      <c r="BT9" s="2"/>
      <c r="BU9" s="6"/>
      <c r="BV9" s="226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6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18</v>
      </c>
      <c r="T10" s="222"/>
      <c r="U10" s="222"/>
      <c r="V10" s="226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2"/>
      <c r="BN10" s="222"/>
      <c r="BO10" s="222"/>
      <c r="BP10" s="222"/>
      <c r="BQ10" s="5"/>
      <c r="BR10" s="5"/>
      <c r="BS10" s="5"/>
      <c r="BT10" s="2"/>
      <c r="BU10" s="6"/>
      <c r="BV10" s="226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6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24</v>
      </c>
      <c r="T11" s="222"/>
      <c r="U11" s="222"/>
      <c r="V11" s="226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2"/>
      <c r="BN11" s="222"/>
      <c r="BO11" s="222"/>
      <c r="BP11" s="222"/>
      <c r="BQ11" s="221"/>
      <c r="BR11" s="222"/>
      <c r="BS11" s="5"/>
      <c r="BT11" s="2"/>
      <c r="BU11" s="6"/>
      <c r="BV11" s="226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</row>
    <row r="12" spans="5:102">
      <c r="E12" s="232" t="s">
        <v>26</v>
      </c>
      <c r="F12" s="224"/>
      <c r="G12" s="11" t="str">
        <f>'Midterm OVPAA-F-INS-055A RAW SC'!G12</f>
        <v>Czarissa Louise A. Navidad</v>
      </c>
      <c r="H12" s="2"/>
      <c r="I12" s="10" t="s">
        <v>28</v>
      </c>
      <c r="J12" s="11"/>
      <c r="K12" s="223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5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3"/>
      <c r="BM12" s="224"/>
      <c r="BN12" s="224"/>
      <c r="BO12" s="224"/>
      <c r="BP12" s="224"/>
      <c r="BQ12" s="225"/>
      <c r="BR12" s="224"/>
      <c r="BS12" s="11"/>
      <c r="BT12" s="16"/>
      <c r="BU12" s="76"/>
      <c r="BV12" s="223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5"/>
      <c r="CQ12" s="224"/>
      <c r="CR12" s="224"/>
      <c r="CS12" s="224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40"/>
      <c r="BU14" s="242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42"/>
      <c r="CP14" s="224"/>
      <c r="CQ14" s="224"/>
      <c r="CR14" s="224"/>
      <c r="CS14" s="224"/>
      <c r="CT14" s="224"/>
      <c r="CU14" s="224"/>
      <c r="CV14" s="224"/>
      <c r="CW14" s="224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50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E10:F10"/>
    <mergeCell ref="BU13:CN14"/>
    <mergeCell ref="CO13:CX14"/>
    <mergeCell ref="E13:E17"/>
    <mergeCell ref="F13:F17"/>
    <mergeCell ref="G13:G17"/>
    <mergeCell ref="H13:BT14"/>
    <mergeCell ref="E8:F8"/>
    <mergeCell ref="BV8:CO8"/>
    <mergeCell ref="S10:U10"/>
    <mergeCell ref="V10:Z10"/>
    <mergeCell ref="BL10:BP10"/>
    <mergeCell ref="BV10:CO10"/>
    <mergeCell ref="K10:O10"/>
    <mergeCell ref="S9:W9"/>
    <mergeCell ref="S8:W8"/>
    <mergeCell ref="BL8:BP8"/>
    <mergeCell ref="BL9:BP9"/>
    <mergeCell ref="BV9:CO9"/>
    <mergeCell ref="K8:O8"/>
    <mergeCell ref="E9:F9"/>
    <mergeCell ref="K9:O9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S11:U11"/>
    <mergeCell ref="V11:Z11"/>
    <mergeCell ref="BL11:BP11"/>
    <mergeCell ref="BQ11:BR11"/>
    <mergeCell ref="BV11:CO11"/>
    <mergeCell ref="E11:F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B10" zoomScale="71" workbookViewId="0">
      <selection activeCell="DK16" sqref="DK1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27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6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6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2"/>
      <c r="BN7" s="222"/>
      <c r="BO7" s="222"/>
      <c r="BP7" s="222"/>
      <c r="BQ7" s="5"/>
      <c r="BR7" s="5"/>
      <c r="BS7" s="5"/>
      <c r="BT7" s="2"/>
      <c r="BU7" s="6"/>
      <c r="BV7" s="226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2"/>
      <c r="DE7" s="222"/>
      <c r="DF7" s="222"/>
      <c r="DG7" s="222"/>
      <c r="DH7" s="5"/>
      <c r="DI7" s="5"/>
    </row>
    <row r="8" spans="5:113">
      <c r="E8" s="227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6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6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2"/>
      <c r="BN8" s="222"/>
      <c r="BO8" s="222"/>
      <c r="BP8" s="222"/>
      <c r="BQ8" s="5"/>
      <c r="BR8" s="5"/>
      <c r="BS8" s="5"/>
      <c r="BT8" s="2"/>
      <c r="BU8" s="6"/>
      <c r="BV8" s="226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2"/>
      <c r="DE8" s="222"/>
      <c r="DF8" s="222"/>
      <c r="DG8" s="222"/>
      <c r="DH8" s="5"/>
      <c r="DI8" s="5"/>
    </row>
    <row r="9" spans="5:113">
      <c r="E9" s="227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6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6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2"/>
      <c r="BN9" s="222"/>
      <c r="BO9" s="222"/>
      <c r="BP9" s="222"/>
      <c r="BQ9" s="5"/>
      <c r="BR9" s="5"/>
      <c r="BS9" s="5"/>
      <c r="BT9" s="2"/>
      <c r="BU9" s="6"/>
      <c r="BV9" s="226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2"/>
      <c r="DE9" s="222"/>
      <c r="DF9" s="222"/>
      <c r="DG9" s="222"/>
      <c r="DH9" s="5"/>
      <c r="DI9" s="5"/>
    </row>
    <row r="10" spans="5:113">
      <c r="E10" s="227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6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18</v>
      </c>
      <c r="T10" s="222"/>
      <c r="U10" s="222"/>
      <c r="V10" s="226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2"/>
      <c r="BN10" s="222"/>
      <c r="BO10" s="222"/>
      <c r="BP10" s="222"/>
      <c r="BQ10" s="5"/>
      <c r="BR10" s="5"/>
      <c r="BS10" s="5"/>
      <c r="BT10" s="2"/>
      <c r="BU10" s="6"/>
      <c r="BV10" s="226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2"/>
      <c r="DE10" s="222"/>
      <c r="DF10" s="222"/>
      <c r="DG10" s="222"/>
      <c r="DH10" s="5"/>
      <c r="DI10" s="5"/>
    </row>
    <row r="11" spans="5:113">
      <c r="E11" s="227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6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24</v>
      </c>
      <c r="T11" s="222"/>
      <c r="U11" s="222"/>
      <c r="V11" s="226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2"/>
      <c r="BN11" s="222"/>
      <c r="BO11" s="222"/>
      <c r="BP11" s="222"/>
      <c r="BQ11" s="221"/>
      <c r="BR11" s="222"/>
      <c r="BS11" s="5"/>
      <c r="BT11" s="2"/>
      <c r="BU11" s="6"/>
      <c r="BV11" s="226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2"/>
      <c r="DE11" s="222"/>
      <c r="DF11" s="222"/>
      <c r="DG11" s="222"/>
      <c r="DH11" s="221"/>
      <c r="DI11" s="222"/>
    </row>
    <row r="12" spans="5:113">
      <c r="E12" s="232" t="s">
        <v>26</v>
      </c>
      <c r="F12" s="224"/>
      <c r="G12" s="11" t="str">
        <f>'Midterm OVPAA-F-INS-055A RAW SC'!G12</f>
        <v>Czarissa Louise A. Navidad</v>
      </c>
      <c r="H12" s="2"/>
      <c r="I12" s="10" t="s">
        <v>28</v>
      </c>
      <c r="J12" s="11"/>
      <c r="K12" s="223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5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3"/>
      <c r="BM12" s="224"/>
      <c r="BN12" s="224"/>
      <c r="BO12" s="224"/>
      <c r="BP12" s="224"/>
      <c r="BQ12" s="225"/>
      <c r="BR12" s="224"/>
      <c r="BS12" s="11"/>
      <c r="BT12" s="16"/>
      <c r="BU12" s="76"/>
      <c r="BV12" s="223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5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23"/>
      <c r="DD12" s="224"/>
      <c r="DE12" s="224"/>
      <c r="DF12" s="224"/>
      <c r="DG12" s="224"/>
      <c r="DH12" s="225"/>
      <c r="DI12" s="224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40"/>
      <c r="BW14" s="242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40"/>
      <c r="CS14" s="242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1:F11"/>
    <mergeCell ref="K11:O11"/>
    <mergeCell ref="S11:U11"/>
    <mergeCell ref="V11:Z11"/>
    <mergeCell ref="BL11:BP11"/>
    <mergeCell ref="CP11:CS11"/>
    <mergeCell ref="DC11:DG11"/>
    <mergeCell ref="K9:O9"/>
    <mergeCell ref="BL10:BP10"/>
    <mergeCell ref="BV10:CO10"/>
    <mergeCell ref="DC10:DG10"/>
    <mergeCell ref="E9:F9"/>
    <mergeCell ref="S9:W9"/>
    <mergeCell ref="E10:F10"/>
    <mergeCell ref="K10:O10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C31" workbookViewId="0">
      <selection activeCell="O114" sqref="O114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6.5">
      <c r="B3" s="229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>
      <c r="B4" s="230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2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e">
        <f ca="1">_xludf.CONCAT(_xludf.CONCAT("CS (",'MidTerm OVPAA-F-INS-055B CLASS'!DE15*100),"%)")</f>
        <v>#NAME?</v>
      </c>
      <c r="G12" s="266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>
        <f>'MidTerm OVPAA-F-INS-055B CLASS'!CR18</f>
        <v>1.25</v>
      </c>
      <c r="I13" s="195">
        <f>'MidTerm OVPAA-F-INS-055B CLASS'!DD18</f>
        <v>1.75</v>
      </c>
      <c r="J13" s="195" t="str">
        <f>'MidTerm OVPAA-F-INS-055B CLASS'!DI18</f>
        <v>2.50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2.50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110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110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2"/>
      <c r="C114" s="181"/>
      <c r="D114" s="181" t="s">
        <v>112</v>
      </c>
      <c r="E114" s="181"/>
      <c r="F114" s="270"/>
      <c r="G114" s="222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2"/>
      <c r="C117" s="222"/>
      <c r="D117" s="271" t="str">
        <f>'Midterm OVPAA-F-INS-055A RAW SC'!K11</f>
        <v>Dr. Sales G. Aribe, Jr.</v>
      </c>
      <c r="E117" s="222"/>
      <c r="F117" s="222"/>
      <c r="G117" s="222"/>
      <c r="H117" s="200"/>
      <c r="I117" s="271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72" t="s">
        <v>114</v>
      </c>
      <c r="B118" s="222"/>
      <c r="C118" s="222"/>
      <c r="D118" s="272" t="str">
        <f>CONCATENATE("Department Head, ",'Midterm OVPAA-F-INS-055A RAW SC'!V10)</f>
        <v>Department Head, Information Technology</v>
      </c>
      <c r="E118" s="222"/>
      <c r="F118" s="222"/>
      <c r="G118" s="222"/>
      <c r="H118" s="201"/>
      <c r="I118" s="272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2"/>
      <c r="C119" s="222"/>
      <c r="D119" s="273" t="s">
        <v>115</v>
      </c>
      <c r="E119" s="222"/>
      <c r="F119" s="222"/>
      <c r="G119" s="203"/>
      <c r="H119" s="203"/>
      <c r="I119" s="273" t="s">
        <v>115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68"/>
      <c r="B121" s="222"/>
      <c r="C121" s="222"/>
      <c r="D121" s="269"/>
      <c r="E121" s="222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2"/>
      <c r="D1" s="222"/>
      <c r="F1" s="281" t="s">
        <v>128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